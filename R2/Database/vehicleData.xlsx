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arde\Dropbox\Investigación\Sostenibilidad\"/>
    </mc:Choice>
  </mc:AlternateContent>
  <xr:revisionPtr revIDLastSave="0" documentId="13_ncr:1_{E3B67675-7198-43A0-A661-2B6D56ED71E6}" xr6:coauthVersionLast="47" xr6:coauthVersionMax="47" xr10:uidLastSave="{00000000-0000-0000-0000-000000000000}"/>
  <bookViews>
    <workbookView xWindow="57480" yWindow="-120" windowWidth="38640" windowHeight="21840" xr2:uid="{F8007598-EA5B-4C72-B39B-ADAAE0CE1672}"/>
  </bookViews>
  <sheets>
    <sheet name="Dimensions" sheetId="1" r:id="rId1"/>
    <sheet name="Euro NCAP" sheetId="2" r:id="rId2"/>
    <sheet name="Green NCAP" sheetId="3" r:id="rId3"/>
    <sheet name="Purchase Price HEV" sheetId="4" r:id="rId4"/>
    <sheet name="Boot capacity HEV" sheetId="5" r:id="rId5"/>
    <sheet name="Tech Specs HEV" sheetId="6" r:id="rId6"/>
    <sheet name="Tech Specs PHEV" sheetId="7" r:id="rId7"/>
    <sheet name="Green NCAP BEV" sheetId="11" r:id="rId8"/>
    <sheet name="Green NCAP HEV" sheetId="12" r:id="rId9"/>
    <sheet name="Green NCAP PHEV" sheetId="13" r:id="rId10"/>
    <sheet name="Green NCAP ICE" sheetId="14" r:id="rId11"/>
  </sheets>
  <definedNames>
    <definedName name="_xlnm._FilterDatabase" localSheetId="0" hidden="1">Dimensions!$E$1:$E$520</definedName>
    <definedName name="_xlnm._FilterDatabase" localSheetId="2" hidden="1">'Green NCAP'!$F$1:$F$96</definedName>
    <definedName name="_xlnm._FilterDatabase" localSheetId="7" hidden="1">'Green NCAP BEV'!$F$1:$F$46</definedName>
    <definedName name="_xlnm._FilterDatabase" localSheetId="8" hidden="1">'Green NCAP HEV'!$F$1:$F$22</definedName>
    <definedName name="_xlnm._FilterDatabase" localSheetId="10" hidden="1">'Green NCAP ICE'!$F$1:$F$47</definedName>
    <definedName name="_xlnm._FilterDatabase" localSheetId="9" hidden="1">'Green NCAP PHEV'!$F$1:$F$6</definedName>
    <definedName name="_xlnm._FilterDatabase" localSheetId="5" hidden="1">'Tech Specs HEV'!$A$1:$A$52</definedName>
    <definedName name="_xlnm._FilterDatabase" localSheetId="6" hidden="1">'Tech Specs PHEV'!$A$1:$A$91</definedName>
    <definedName name="_xlchart.v1.0" hidden="1">'Purchase Price HEV'!$F$1:$F$50</definedName>
    <definedName name="_xlchart.v1.1" hidden="1">'Purchase Price HEV'!$F$1:$F$50</definedName>
    <definedName name="_xlchart.v1.2" hidden="1">'Purchase Price HEV'!$F$1:$F$50</definedName>
    <definedName name="_xlchart.v1.3" hidden="1">'Boot capacity HEV'!$F$3:$F$51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2" l="1"/>
  <c r="Q10" i="2"/>
  <c r="R10" i="2"/>
  <c r="S10" i="2"/>
  <c r="T10" i="2"/>
  <c r="U10" i="2"/>
  <c r="V10" i="2"/>
  <c r="Q11" i="2"/>
  <c r="V13" i="2"/>
  <c r="Q14" i="2"/>
  <c r="S14" i="2"/>
  <c r="T14" i="2"/>
  <c r="S20" i="2"/>
  <c r="U20" i="2"/>
  <c r="V20" i="2"/>
  <c r="Q21" i="2"/>
  <c r="R21" i="2"/>
  <c r="T21" i="2"/>
  <c r="V23" i="2"/>
  <c r="Q24" i="2"/>
  <c r="T24" i="2"/>
  <c r="R25" i="2"/>
  <c r="S25" i="2"/>
  <c r="V33" i="2"/>
  <c r="Q34" i="2"/>
  <c r="S34" i="2"/>
  <c r="T34" i="2"/>
  <c r="R35" i="2"/>
  <c r="S35" i="2"/>
  <c r="Q40" i="2"/>
  <c r="Q44" i="2"/>
  <c r="T44" i="2"/>
  <c r="R45" i="2"/>
  <c r="S45" i="2"/>
  <c r="T45" i="2"/>
  <c r="Q50" i="2"/>
  <c r="S50" i="2"/>
  <c r="T50" i="2"/>
  <c r="U50" i="2"/>
  <c r="Q54" i="2"/>
  <c r="T54" i="2"/>
  <c r="Q60" i="2"/>
  <c r="R60" i="2"/>
  <c r="S60" i="2"/>
  <c r="T60" i="2"/>
  <c r="U60" i="2"/>
  <c r="R61" i="2"/>
  <c r="Q64" i="2"/>
  <c r="U70" i="2"/>
  <c r="V70" i="2"/>
  <c r="Q71" i="2"/>
  <c r="R71" i="2"/>
  <c r="V73" i="2"/>
  <c r="Q74" i="2"/>
  <c r="R75" i="2"/>
  <c r="S75" i="2"/>
  <c r="Q84" i="2"/>
  <c r="S84" i="2"/>
  <c r="R85" i="2"/>
  <c r="S85" i="2"/>
  <c r="T85" i="2"/>
  <c r="S87" i="2"/>
  <c r="S90" i="2"/>
  <c r="Q94" i="2"/>
  <c r="S94" i="2"/>
  <c r="Q100" i="2"/>
  <c r="R100" i="2"/>
  <c r="S100" i="2"/>
  <c r="T100" i="2"/>
  <c r="U100" i="2"/>
  <c r="R101" i="2"/>
  <c r="S110" i="2"/>
  <c r="U110" i="2"/>
  <c r="V110" i="2"/>
  <c r="Q111" i="2"/>
  <c r="R111" i="2"/>
  <c r="V113" i="2"/>
  <c r="Q114" i="2"/>
  <c r="S114" i="2"/>
  <c r="S115" i="2"/>
  <c r="T115" i="2"/>
  <c r="Q124" i="2"/>
  <c r="S124" i="2"/>
  <c r="R125" i="2"/>
  <c r="S125" i="2"/>
  <c r="T125" i="2"/>
  <c r="S127" i="2"/>
  <c r="Q130" i="2"/>
  <c r="S130" i="2"/>
  <c r="T130" i="2"/>
  <c r="U130" i="2"/>
  <c r="S135" i="2"/>
  <c r="R140" i="2"/>
  <c r="S140" i="2"/>
  <c r="T140" i="2"/>
  <c r="U140" i="2"/>
  <c r="V140" i="2"/>
  <c r="Q141" i="2"/>
  <c r="Q144" i="2"/>
  <c r="S144" i="2"/>
  <c r="Q154" i="2"/>
  <c r="S154" i="2"/>
  <c r="R155" i="2"/>
  <c r="S155" i="2"/>
  <c r="T155" i="2"/>
  <c r="R160" i="2"/>
  <c r="S160" i="2"/>
  <c r="Q164" i="2"/>
  <c r="S164" i="2"/>
  <c r="S165" i="2"/>
  <c r="T165" i="2"/>
  <c r="R170" i="2"/>
  <c r="S170" i="2"/>
  <c r="T170" i="2"/>
  <c r="U170" i="2"/>
  <c r="M3" i="2"/>
  <c r="N3" i="2"/>
  <c r="O3" i="2"/>
  <c r="V3" i="2" s="1"/>
  <c r="P3" i="2"/>
  <c r="M4" i="2"/>
  <c r="Q4" i="2" s="1"/>
  <c r="N4" i="2"/>
  <c r="T4" i="2" s="1"/>
  <c r="O4" i="2"/>
  <c r="R4" i="2" s="1"/>
  <c r="P4" i="2"/>
  <c r="M5" i="2"/>
  <c r="Q5" i="2" s="1"/>
  <c r="N5" i="2"/>
  <c r="U5" i="2" s="1"/>
  <c r="O5" i="2"/>
  <c r="V5" i="2" s="1"/>
  <c r="P5" i="2"/>
  <c r="M6" i="2"/>
  <c r="N6" i="2"/>
  <c r="O6" i="2"/>
  <c r="P6" i="2"/>
  <c r="V6" i="2" s="1"/>
  <c r="M7" i="2"/>
  <c r="S7" i="2" s="1"/>
  <c r="N7" i="2"/>
  <c r="U7" i="2" s="1"/>
  <c r="O7" i="2"/>
  <c r="P7" i="2"/>
  <c r="M8" i="2"/>
  <c r="N8" i="2"/>
  <c r="T8" i="2" s="1"/>
  <c r="O8" i="2"/>
  <c r="V8" i="2" s="1"/>
  <c r="P8" i="2"/>
  <c r="M9" i="2"/>
  <c r="N9" i="2"/>
  <c r="T9" i="2" s="1"/>
  <c r="O9" i="2"/>
  <c r="P9" i="2"/>
  <c r="M10" i="2"/>
  <c r="N10" i="2"/>
  <c r="O10" i="2"/>
  <c r="P10" i="2"/>
  <c r="M11" i="2"/>
  <c r="R11" i="2" s="1"/>
  <c r="N11" i="2"/>
  <c r="O11" i="2"/>
  <c r="T11" i="2" s="1"/>
  <c r="P11" i="2"/>
  <c r="S11" i="2" s="1"/>
  <c r="M12" i="2"/>
  <c r="N12" i="2"/>
  <c r="O12" i="2"/>
  <c r="V12" i="2" s="1"/>
  <c r="P12" i="2"/>
  <c r="M13" i="2"/>
  <c r="N13" i="2"/>
  <c r="U13" i="2" s="1"/>
  <c r="O13" i="2"/>
  <c r="P13" i="2"/>
  <c r="M14" i="2"/>
  <c r="N14" i="2"/>
  <c r="O14" i="2"/>
  <c r="P14" i="2"/>
  <c r="M15" i="2"/>
  <c r="N15" i="2"/>
  <c r="U15" i="2" s="1"/>
  <c r="O15" i="2"/>
  <c r="V15" i="2" s="1"/>
  <c r="P15" i="2"/>
  <c r="M16" i="2"/>
  <c r="N16" i="2"/>
  <c r="O16" i="2"/>
  <c r="P16" i="2"/>
  <c r="V16" i="2" s="1"/>
  <c r="M17" i="2"/>
  <c r="S17" i="2" s="1"/>
  <c r="N17" i="2"/>
  <c r="O17" i="2"/>
  <c r="P17" i="2"/>
  <c r="M18" i="2"/>
  <c r="N18" i="2"/>
  <c r="T18" i="2" s="1"/>
  <c r="O18" i="2"/>
  <c r="V18" i="2" s="1"/>
  <c r="P18" i="2"/>
  <c r="M19" i="2"/>
  <c r="N19" i="2"/>
  <c r="T19" i="2" s="1"/>
  <c r="O19" i="2"/>
  <c r="P19" i="2"/>
  <c r="M20" i="2"/>
  <c r="Q20" i="2" s="1"/>
  <c r="N20" i="2"/>
  <c r="T20" i="2" s="1"/>
  <c r="O20" i="2"/>
  <c r="R20" i="2" s="1"/>
  <c r="P20" i="2"/>
  <c r="M21" i="2"/>
  <c r="N21" i="2"/>
  <c r="O21" i="2"/>
  <c r="P21" i="2"/>
  <c r="S21" i="2" s="1"/>
  <c r="M22" i="2"/>
  <c r="N22" i="2"/>
  <c r="O22" i="2"/>
  <c r="V22" i="2" s="1"/>
  <c r="P22" i="2"/>
  <c r="M23" i="2"/>
  <c r="N23" i="2"/>
  <c r="O23" i="2"/>
  <c r="P23" i="2"/>
  <c r="M24" i="2"/>
  <c r="N24" i="2"/>
  <c r="O24" i="2"/>
  <c r="R24" i="2" s="1"/>
  <c r="P24" i="2"/>
  <c r="S24" i="2" s="1"/>
  <c r="M25" i="2"/>
  <c r="N25" i="2"/>
  <c r="U25" i="2" s="1"/>
  <c r="O25" i="2"/>
  <c r="V25" i="2" s="1"/>
  <c r="P25" i="2"/>
  <c r="M26" i="2"/>
  <c r="N26" i="2"/>
  <c r="O26" i="2"/>
  <c r="P26" i="2"/>
  <c r="U26" i="2" s="1"/>
  <c r="M27" i="2"/>
  <c r="S27" i="2" s="1"/>
  <c r="N27" i="2"/>
  <c r="U27" i="2" s="1"/>
  <c r="O27" i="2"/>
  <c r="P27" i="2"/>
  <c r="M28" i="2"/>
  <c r="N28" i="2"/>
  <c r="O28" i="2"/>
  <c r="V28" i="2" s="1"/>
  <c r="P28" i="2"/>
  <c r="M29" i="2"/>
  <c r="N29" i="2"/>
  <c r="T29" i="2" s="1"/>
  <c r="O29" i="2"/>
  <c r="P29" i="2"/>
  <c r="M30" i="2"/>
  <c r="Q30" i="2" s="1"/>
  <c r="N30" i="2"/>
  <c r="U30" i="2" s="1"/>
  <c r="O30" i="2"/>
  <c r="V30" i="2" s="1"/>
  <c r="P30" i="2"/>
  <c r="M31" i="2"/>
  <c r="Q31" i="2" s="1"/>
  <c r="N31" i="2"/>
  <c r="O31" i="2"/>
  <c r="T31" i="2" s="1"/>
  <c r="P31" i="2"/>
  <c r="S31" i="2" s="1"/>
  <c r="M32" i="2"/>
  <c r="N32" i="2"/>
  <c r="O32" i="2"/>
  <c r="V32" i="2" s="1"/>
  <c r="P32" i="2"/>
  <c r="M33" i="2"/>
  <c r="N33" i="2"/>
  <c r="O33" i="2"/>
  <c r="P33" i="2"/>
  <c r="M34" i="2"/>
  <c r="N34" i="2"/>
  <c r="O34" i="2"/>
  <c r="P34" i="2"/>
  <c r="M35" i="2"/>
  <c r="N35" i="2"/>
  <c r="U35" i="2" s="1"/>
  <c r="O35" i="2"/>
  <c r="V35" i="2" s="1"/>
  <c r="P35" i="2"/>
  <c r="M36" i="2"/>
  <c r="N36" i="2"/>
  <c r="O36" i="2"/>
  <c r="P36" i="2"/>
  <c r="U36" i="2" s="1"/>
  <c r="M37" i="2"/>
  <c r="S37" i="2" s="1"/>
  <c r="N37" i="2"/>
  <c r="O37" i="2"/>
  <c r="P37" i="2"/>
  <c r="M38" i="2"/>
  <c r="N38" i="2"/>
  <c r="O38" i="2"/>
  <c r="V38" i="2" s="1"/>
  <c r="P38" i="2"/>
  <c r="M39" i="2"/>
  <c r="Q39" i="2" s="1"/>
  <c r="N39" i="2"/>
  <c r="O39" i="2"/>
  <c r="P39" i="2"/>
  <c r="M40" i="2"/>
  <c r="S40" i="2" s="1"/>
  <c r="N40" i="2"/>
  <c r="T40" i="2" s="1"/>
  <c r="O40" i="2"/>
  <c r="V40" i="2" s="1"/>
  <c r="P40" i="2"/>
  <c r="M41" i="2"/>
  <c r="Q41" i="2" s="1"/>
  <c r="N41" i="2"/>
  <c r="O41" i="2"/>
  <c r="T41" i="2" s="1"/>
  <c r="P41" i="2"/>
  <c r="S41" i="2" s="1"/>
  <c r="M42" i="2"/>
  <c r="N42" i="2"/>
  <c r="O42" i="2"/>
  <c r="V42" i="2" s="1"/>
  <c r="P42" i="2"/>
  <c r="M43" i="2"/>
  <c r="N43" i="2"/>
  <c r="O43" i="2"/>
  <c r="V43" i="2" s="1"/>
  <c r="P43" i="2"/>
  <c r="M44" i="2"/>
  <c r="N44" i="2"/>
  <c r="O44" i="2"/>
  <c r="R44" i="2" s="1"/>
  <c r="P44" i="2"/>
  <c r="S44" i="2" s="1"/>
  <c r="M45" i="2"/>
  <c r="N45" i="2"/>
  <c r="U45" i="2" s="1"/>
  <c r="O45" i="2"/>
  <c r="V45" i="2" s="1"/>
  <c r="P45" i="2"/>
  <c r="M46" i="2"/>
  <c r="N46" i="2"/>
  <c r="O46" i="2"/>
  <c r="P46" i="2"/>
  <c r="U46" i="2" s="1"/>
  <c r="M47" i="2"/>
  <c r="S47" i="2" s="1"/>
  <c r="N47" i="2"/>
  <c r="U47" i="2" s="1"/>
  <c r="O47" i="2"/>
  <c r="P47" i="2"/>
  <c r="M48" i="2"/>
  <c r="N48" i="2"/>
  <c r="O48" i="2"/>
  <c r="V48" i="2" s="1"/>
  <c r="P48" i="2"/>
  <c r="M49" i="2"/>
  <c r="N49" i="2"/>
  <c r="O49" i="2"/>
  <c r="P49" i="2"/>
  <c r="M50" i="2"/>
  <c r="R50" i="2" s="1"/>
  <c r="N50" i="2"/>
  <c r="O50" i="2"/>
  <c r="V50" i="2" s="1"/>
  <c r="P50" i="2"/>
  <c r="M51" i="2"/>
  <c r="Q51" i="2" s="1"/>
  <c r="N51" i="2"/>
  <c r="O51" i="2"/>
  <c r="T51" i="2" s="1"/>
  <c r="P51" i="2"/>
  <c r="S51" i="2" s="1"/>
  <c r="M52" i="2"/>
  <c r="N52" i="2"/>
  <c r="O52" i="2"/>
  <c r="V52" i="2" s="1"/>
  <c r="P52" i="2"/>
  <c r="M53" i="2"/>
  <c r="N53" i="2"/>
  <c r="O53" i="2"/>
  <c r="V53" i="2" s="1"/>
  <c r="P53" i="2"/>
  <c r="M54" i="2"/>
  <c r="N54" i="2"/>
  <c r="O54" i="2"/>
  <c r="R54" i="2" s="1"/>
  <c r="P54" i="2"/>
  <c r="S54" i="2" s="1"/>
  <c r="M55" i="2"/>
  <c r="S55" i="2" s="1"/>
  <c r="N55" i="2"/>
  <c r="U55" i="2" s="1"/>
  <c r="O55" i="2"/>
  <c r="V55" i="2" s="1"/>
  <c r="P55" i="2"/>
  <c r="M56" i="2"/>
  <c r="N56" i="2"/>
  <c r="O56" i="2"/>
  <c r="P56" i="2"/>
  <c r="U56" i="2" s="1"/>
  <c r="M57" i="2"/>
  <c r="S57" i="2" s="1"/>
  <c r="N57" i="2"/>
  <c r="U57" i="2" s="1"/>
  <c r="O57" i="2"/>
  <c r="P57" i="2"/>
  <c r="M58" i="2"/>
  <c r="N58" i="2"/>
  <c r="O58" i="2"/>
  <c r="V58" i="2" s="1"/>
  <c r="P58" i="2"/>
  <c r="M59" i="2"/>
  <c r="N59" i="2"/>
  <c r="T59" i="2" s="1"/>
  <c r="O59" i="2"/>
  <c r="P59" i="2"/>
  <c r="M60" i="2"/>
  <c r="N60" i="2"/>
  <c r="O60" i="2"/>
  <c r="V60" i="2" s="1"/>
  <c r="P60" i="2"/>
  <c r="M61" i="2"/>
  <c r="Q61" i="2" s="1"/>
  <c r="N61" i="2"/>
  <c r="O61" i="2"/>
  <c r="T61" i="2" s="1"/>
  <c r="P61" i="2"/>
  <c r="S61" i="2" s="1"/>
  <c r="M62" i="2"/>
  <c r="N62" i="2"/>
  <c r="O62" i="2"/>
  <c r="V62" i="2" s="1"/>
  <c r="P62" i="2"/>
  <c r="M63" i="2"/>
  <c r="N63" i="2"/>
  <c r="O63" i="2"/>
  <c r="V63" i="2" s="1"/>
  <c r="P63" i="2"/>
  <c r="M64" i="2"/>
  <c r="S64" i="2" s="1"/>
  <c r="N64" i="2"/>
  <c r="O64" i="2"/>
  <c r="R64" i="2" s="1"/>
  <c r="P64" i="2"/>
  <c r="M65" i="2"/>
  <c r="N65" i="2"/>
  <c r="U65" i="2" s="1"/>
  <c r="O65" i="2"/>
  <c r="V65" i="2" s="1"/>
  <c r="P65" i="2"/>
  <c r="M66" i="2"/>
  <c r="N66" i="2"/>
  <c r="O66" i="2"/>
  <c r="P66" i="2"/>
  <c r="U66" i="2" s="1"/>
  <c r="M67" i="2"/>
  <c r="S67" i="2" s="1"/>
  <c r="N67" i="2"/>
  <c r="O67" i="2"/>
  <c r="P67" i="2"/>
  <c r="M68" i="2"/>
  <c r="N68" i="2"/>
  <c r="O68" i="2"/>
  <c r="V68" i="2" s="1"/>
  <c r="P68" i="2"/>
  <c r="M69" i="2"/>
  <c r="N69" i="2"/>
  <c r="O69" i="2"/>
  <c r="P69" i="2"/>
  <c r="M70" i="2"/>
  <c r="S70" i="2" s="1"/>
  <c r="N70" i="2"/>
  <c r="Q70" i="2" s="1"/>
  <c r="O70" i="2"/>
  <c r="R70" i="2" s="1"/>
  <c r="P70" i="2"/>
  <c r="M71" i="2"/>
  <c r="N71" i="2"/>
  <c r="O71" i="2"/>
  <c r="T71" i="2" s="1"/>
  <c r="P71" i="2"/>
  <c r="S71" i="2" s="1"/>
  <c r="M72" i="2"/>
  <c r="N72" i="2"/>
  <c r="O72" i="2"/>
  <c r="V72" i="2" s="1"/>
  <c r="P72" i="2"/>
  <c r="M73" i="2"/>
  <c r="N73" i="2"/>
  <c r="O73" i="2"/>
  <c r="P73" i="2"/>
  <c r="M74" i="2"/>
  <c r="N74" i="2"/>
  <c r="O74" i="2"/>
  <c r="R74" i="2" s="1"/>
  <c r="P74" i="2"/>
  <c r="S74" i="2" s="1"/>
  <c r="M75" i="2"/>
  <c r="N75" i="2"/>
  <c r="U75" i="2" s="1"/>
  <c r="O75" i="2"/>
  <c r="V75" i="2" s="1"/>
  <c r="P75" i="2"/>
  <c r="M76" i="2"/>
  <c r="N76" i="2"/>
  <c r="O76" i="2"/>
  <c r="P76" i="2"/>
  <c r="U76" i="2" s="1"/>
  <c r="M77" i="2"/>
  <c r="S77" i="2" s="1"/>
  <c r="N77" i="2"/>
  <c r="O77" i="2"/>
  <c r="P77" i="2"/>
  <c r="M78" i="2"/>
  <c r="N78" i="2"/>
  <c r="O78" i="2"/>
  <c r="V78" i="2" s="1"/>
  <c r="P78" i="2"/>
  <c r="M79" i="2"/>
  <c r="N79" i="2"/>
  <c r="T79" i="2" s="1"/>
  <c r="O79" i="2"/>
  <c r="P79" i="2"/>
  <c r="M80" i="2"/>
  <c r="Q80" i="2" s="1"/>
  <c r="N80" i="2"/>
  <c r="T80" i="2" s="1"/>
  <c r="O80" i="2"/>
  <c r="V80" i="2" s="1"/>
  <c r="P80" i="2"/>
  <c r="M81" i="2"/>
  <c r="Q81" i="2" s="1"/>
  <c r="N81" i="2"/>
  <c r="O81" i="2"/>
  <c r="T81" i="2" s="1"/>
  <c r="P81" i="2"/>
  <c r="S81" i="2" s="1"/>
  <c r="M82" i="2"/>
  <c r="N82" i="2"/>
  <c r="O82" i="2"/>
  <c r="V82" i="2" s="1"/>
  <c r="P82" i="2"/>
  <c r="M83" i="2"/>
  <c r="N83" i="2"/>
  <c r="O83" i="2"/>
  <c r="V83" i="2" s="1"/>
  <c r="P83" i="2"/>
  <c r="M84" i="2"/>
  <c r="N84" i="2"/>
  <c r="O84" i="2"/>
  <c r="R84" i="2" s="1"/>
  <c r="P84" i="2"/>
  <c r="M85" i="2"/>
  <c r="N85" i="2"/>
  <c r="U85" i="2" s="1"/>
  <c r="O85" i="2"/>
  <c r="V85" i="2" s="1"/>
  <c r="P85" i="2"/>
  <c r="M86" i="2"/>
  <c r="N86" i="2"/>
  <c r="O86" i="2"/>
  <c r="P86" i="2"/>
  <c r="U86" i="2" s="1"/>
  <c r="M87" i="2"/>
  <c r="N87" i="2"/>
  <c r="U87" i="2" s="1"/>
  <c r="O87" i="2"/>
  <c r="V87" i="2" s="1"/>
  <c r="P87" i="2"/>
  <c r="M88" i="2"/>
  <c r="N88" i="2"/>
  <c r="O88" i="2"/>
  <c r="V88" i="2" s="1"/>
  <c r="P88" i="2"/>
  <c r="M89" i="2"/>
  <c r="Q89" i="2" s="1"/>
  <c r="N89" i="2"/>
  <c r="O89" i="2"/>
  <c r="P89" i="2"/>
  <c r="M90" i="2"/>
  <c r="Q90" i="2" s="1"/>
  <c r="N90" i="2"/>
  <c r="U90" i="2" s="1"/>
  <c r="O90" i="2"/>
  <c r="V90" i="2" s="1"/>
  <c r="P90" i="2"/>
  <c r="M91" i="2"/>
  <c r="Q91" i="2" s="1"/>
  <c r="N91" i="2"/>
  <c r="O91" i="2"/>
  <c r="T91" i="2" s="1"/>
  <c r="P91" i="2"/>
  <c r="S91" i="2" s="1"/>
  <c r="M92" i="2"/>
  <c r="N92" i="2"/>
  <c r="O92" i="2"/>
  <c r="V92" i="2" s="1"/>
  <c r="P92" i="2"/>
  <c r="M93" i="2"/>
  <c r="N93" i="2"/>
  <c r="O93" i="2"/>
  <c r="V93" i="2" s="1"/>
  <c r="P93" i="2"/>
  <c r="M94" i="2"/>
  <c r="N94" i="2"/>
  <c r="O94" i="2"/>
  <c r="R94" i="2" s="1"/>
  <c r="P94" i="2"/>
  <c r="M95" i="2"/>
  <c r="S95" i="2" s="1"/>
  <c r="N95" i="2"/>
  <c r="U95" i="2" s="1"/>
  <c r="O95" i="2"/>
  <c r="V95" i="2" s="1"/>
  <c r="P95" i="2"/>
  <c r="M96" i="2"/>
  <c r="N96" i="2"/>
  <c r="O96" i="2"/>
  <c r="P96" i="2"/>
  <c r="V96" i="2" s="1"/>
  <c r="M97" i="2"/>
  <c r="S97" i="2" s="1"/>
  <c r="N97" i="2"/>
  <c r="O97" i="2"/>
  <c r="P97" i="2"/>
  <c r="M98" i="2"/>
  <c r="N98" i="2"/>
  <c r="O98" i="2"/>
  <c r="V98" i="2" s="1"/>
  <c r="P98" i="2"/>
  <c r="M99" i="2"/>
  <c r="N99" i="2"/>
  <c r="O99" i="2"/>
  <c r="P99" i="2"/>
  <c r="M100" i="2"/>
  <c r="N100" i="2"/>
  <c r="O100" i="2"/>
  <c r="V100" i="2" s="1"/>
  <c r="P100" i="2"/>
  <c r="M101" i="2"/>
  <c r="Q101" i="2" s="1"/>
  <c r="N101" i="2"/>
  <c r="O101" i="2"/>
  <c r="T101" i="2" s="1"/>
  <c r="P101" i="2"/>
  <c r="S101" i="2" s="1"/>
  <c r="M102" i="2"/>
  <c r="N102" i="2"/>
  <c r="O102" i="2"/>
  <c r="V102" i="2" s="1"/>
  <c r="P102" i="2"/>
  <c r="M103" i="2"/>
  <c r="N103" i="2"/>
  <c r="O103" i="2"/>
  <c r="V103" i="2" s="1"/>
  <c r="P103" i="2"/>
  <c r="M104" i="2"/>
  <c r="Q104" i="2" s="1"/>
  <c r="N104" i="2"/>
  <c r="O104" i="2"/>
  <c r="R104" i="2" s="1"/>
  <c r="P104" i="2"/>
  <c r="M105" i="2"/>
  <c r="N105" i="2"/>
  <c r="U105" i="2" s="1"/>
  <c r="O105" i="2"/>
  <c r="V105" i="2" s="1"/>
  <c r="P105" i="2"/>
  <c r="M106" i="2"/>
  <c r="N106" i="2"/>
  <c r="O106" i="2"/>
  <c r="P106" i="2"/>
  <c r="U106" i="2" s="1"/>
  <c r="M107" i="2"/>
  <c r="N107" i="2"/>
  <c r="O107" i="2"/>
  <c r="P107" i="2"/>
  <c r="M108" i="2"/>
  <c r="N108" i="2"/>
  <c r="O108" i="2"/>
  <c r="V108" i="2" s="1"/>
  <c r="P108" i="2"/>
  <c r="M109" i="2"/>
  <c r="N109" i="2"/>
  <c r="O109" i="2"/>
  <c r="P109" i="2"/>
  <c r="M110" i="2"/>
  <c r="Q110" i="2" s="1"/>
  <c r="N110" i="2"/>
  <c r="T110" i="2" s="1"/>
  <c r="O110" i="2"/>
  <c r="R110" i="2" s="1"/>
  <c r="P110" i="2"/>
  <c r="M111" i="2"/>
  <c r="N111" i="2"/>
  <c r="O111" i="2"/>
  <c r="T111" i="2" s="1"/>
  <c r="P111" i="2"/>
  <c r="S111" i="2" s="1"/>
  <c r="M112" i="2"/>
  <c r="N112" i="2"/>
  <c r="O112" i="2"/>
  <c r="V112" i="2" s="1"/>
  <c r="P112" i="2"/>
  <c r="M113" i="2"/>
  <c r="N113" i="2"/>
  <c r="O113" i="2"/>
  <c r="P113" i="2"/>
  <c r="M114" i="2"/>
  <c r="N114" i="2"/>
  <c r="O114" i="2"/>
  <c r="R114" i="2" s="1"/>
  <c r="P114" i="2"/>
  <c r="M115" i="2"/>
  <c r="R115" i="2" s="1"/>
  <c r="N115" i="2"/>
  <c r="U115" i="2" s="1"/>
  <c r="O115" i="2"/>
  <c r="V115" i="2" s="1"/>
  <c r="P115" i="2"/>
  <c r="M116" i="2"/>
  <c r="N116" i="2"/>
  <c r="O116" i="2"/>
  <c r="P116" i="2"/>
  <c r="U116" i="2" s="1"/>
  <c r="M117" i="2"/>
  <c r="S117" i="2" s="1"/>
  <c r="N117" i="2"/>
  <c r="U117" i="2" s="1"/>
  <c r="O117" i="2"/>
  <c r="V117" i="2" s="1"/>
  <c r="P117" i="2"/>
  <c r="M118" i="2"/>
  <c r="N118" i="2"/>
  <c r="O118" i="2"/>
  <c r="V118" i="2" s="1"/>
  <c r="P118" i="2"/>
  <c r="M119" i="2"/>
  <c r="Q119" i="2" s="1"/>
  <c r="N119" i="2"/>
  <c r="O119" i="2"/>
  <c r="P119" i="2"/>
  <c r="M120" i="2"/>
  <c r="Q120" i="2" s="1"/>
  <c r="N120" i="2"/>
  <c r="T120" i="2" s="1"/>
  <c r="O120" i="2"/>
  <c r="V120" i="2" s="1"/>
  <c r="P120" i="2"/>
  <c r="M121" i="2"/>
  <c r="Q121" i="2" s="1"/>
  <c r="N121" i="2"/>
  <c r="O121" i="2"/>
  <c r="T121" i="2" s="1"/>
  <c r="P121" i="2"/>
  <c r="S121" i="2" s="1"/>
  <c r="M122" i="2"/>
  <c r="N122" i="2"/>
  <c r="O122" i="2"/>
  <c r="V122" i="2" s="1"/>
  <c r="P122" i="2"/>
  <c r="M123" i="2"/>
  <c r="N123" i="2"/>
  <c r="O123" i="2"/>
  <c r="V123" i="2" s="1"/>
  <c r="P123" i="2"/>
  <c r="M124" i="2"/>
  <c r="N124" i="2"/>
  <c r="O124" i="2"/>
  <c r="R124" i="2" s="1"/>
  <c r="P124" i="2"/>
  <c r="M125" i="2"/>
  <c r="N125" i="2"/>
  <c r="U125" i="2" s="1"/>
  <c r="O125" i="2"/>
  <c r="V125" i="2" s="1"/>
  <c r="P125" i="2"/>
  <c r="M126" i="2"/>
  <c r="N126" i="2"/>
  <c r="O126" i="2"/>
  <c r="P126" i="2"/>
  <c r="V126" i="2" s="1"/>
  <c r="M127" i="2"/>
  <c r="N127" i="2"/>
  <c r="O127" i="2"/>
  <c r="V127" i="2" s="1"/>
  <c r="P127" i="2"/>
  <c r="M128" i="2"/>
  <c r="N128" i="2"/>
  <c r="O128" i="2"/>
  <c r="V128" i="2" s="1"/>
  <c r="P128" i="2"/>
  <c r="M129" i="2"/>
  <c r="Q129" i="2" s="1"/>
  <c r="N129" i="2"/>
  <c r="T129" i="2" s="1"/>
  <c r="O129" i="2"/>
  <c r="P129" i="2"/>
  <c r="M130" i="2"/>
  <c r="R130" i="2" s="1"/>
  <c r="N130" i="2"/>
  <c r="O130" i="2"/>
  <c r="V130" i="2" s="1"/>
  <c r="P130" i="2"/>
  <c r="M131" i="2"/>
  <c r="Q131" i="2" s="1"/>
  <c r="N131" i="2"/>
  <c r="O131" i="2"/>
  <c r="T131" i="2" s="1"/>
  <c r="P131" i="2"/>
  <c r="S131" i="2" s="1"/>
  <c r="M132" i="2"/>
  <c r="N132" i="2"/>
  <c r="O132" i="2"/>
  <c r="V132" i="2" s="1"/>
  <c r="P132" i="2"/>
  <c r="M133" i="2"/>
  <c r="N133" i="2"/>
  <c r="O133" i="2"/>
  <c r="V133" i="2" s="1"/>
  <c r="P133" i="2"/>
  <c r="M134" i="2"/>
  <c r="Q134" i="2" s="1"/>
  <c r="N134" i="2"/>
  <c r="O134" i="2"/>
  <c r="P134" i="2"/>
  <c r="M135" i="2"/>
  <c r="N135" i="2"/>
  <c r="U135" i="2" s="1"/>
  <c r="O135" i="2"/>
  <c r="V135" i="2" s="1"/>
  <c r="P135" i="2"/>
  <c r="M136" i="2"/>
  <c r="N136" i="2"/>
  <c r="O136" i="2"/>
  <c r="P136" i="2"/>
  <c r="V136" i="2" s="1"/>
  <c r="M137" i="2"/>
  <c r="S137" i="2" s="1"/>
  <c r="N137" i="2"/>
  <c r="U137" i="2" s="1"/>
  <c r="O137" i="2"/>
  <c r="V137" i="2" s="1"/>
  <c r="P137" i="2"/>
  <c r="M138" i="2"/>
  <c r="N138" i="2"/>
  <c r="O138" i="2"/>
  <c r="V138" i="2" s="1"/>
  <c r="P138" i="2"/>
  <c r="M139" i="2"/>
  <c r="Q139" i="2" s="1"/>
  <c r="N139" i="2"/>
  <c r="O139" i="2"/>
  <c r="P139" i="2"/>
  <c r="M140" i="2"/>
  <c r="N140" i="2"/>
  <c r="O140" i="2"/>
  <c r="P140" i="2"/>
  <c r="M141" i="2"/>
  <c r="R141" i="2" s="1"/>
  <c r="N141" i="2"/>
  <c r="O141" i="2"/>
  <c r="T141" i="2" s="1"/>
  <c r="P141" i="2"/>
  <c r="S141" i="2" s="1"/>
  <c r="M142" i="2"/>
  <c r="N142" i="2"/>
  <c r="O142" i="2"/>
  <c r="V142" i="2" s="1"/>
  <c r="P142" i="2"/>
  <c r="M143" i="2"/>
  <c r="N143" i="2"/>
  <c r="O143" i="2"/>
  <c r="V143" i="2" s="1"/>
  <c r="P143" i="2"/>
  <c r="M144" i="2"/>
  <c r="N144" i="2"/>
  <c r="O144" i="2"/>
  <c r="P144" i="2"/>
  <c r="M145" i="2"/>
  <c r="N145" i="2"/>
  <c r="U145" i="2" s="1"/>
  <c r="O145" i="2"/>
  <c r="V145" i="2" s="1"/>
  <c r="P145" i="2"/>
  <c r="M146" i="2"/>
  <c r="N146" i="2"/>
  <c r="O146" i="2"/>
  <c r="P146" i="2"/>
  <c r="V146" i="2" s="1"/>
  <c r="M147" i="2"/>
  <c r="N147" i="2"/>
  <c r="O147" i="2"/>
  <c r="V147" i="2" s="1"/>
  <c r="P147" i="2"/>
  <c r="M148" i="2"/>
  <c r="N148" i="2"/>
  <c r="O148" i="2"/>
  <c r="V148" i="2" s="1"/>
  <c r="P148" i="2"/>
  <c r="M149" i="2"/>
  <c r="N149" i="2"/>
  <c r="O149" i="2"/>
  <c r="P149" i="2"/>
  <c r="M150" i="2"/>
  <c r="R150" i="2" s="1"/>
  <c r="N150" i="2"/>
  <c r="U150" i="2" s="1"/>
  <c r="O150" i="2"/>
  <c r="V150" i="2" s="1"/>
  <c r="P150" i="2"/>
  <c r="M151" i="2"/>
  <c r="Q151" i="2" s="1"/>
  <c r="N151" i="2"/>
  <c r="O151" i="2"/>
  <c r="T151" i="2" s="1"/>
  <c r="P151" i="2"/>
  <c r="S151" i="2" s="1"/>
  <c r="M152" i="2"/>
  <c r="N152" i="2"/>
  <c r="O152" i="2"/>
  <c r="V152" i="2" s="1"/>
  <c r="P152" i="2"/>
  <c r="M153" i="2"/>
  <c r="N153" i="2"/>
  <c r="O153" i="2"/>
  <c r="V153" i="2" s="1"/>
  <c r="P153" i="2"/>
  <c r="M154" i="2"/>
  <c r="N154" i="2"/>
  <c r="O154" i="2"/>
  <c r="P154" i="2"/>
  <c r="M155" i="2"/>
  <c r="N155" i="2"/>
  <c r="U155" i="2" s="1"/>
  <c r="O155" i="2"/>
  <c r="V155" i="2" s="1"/>
  <c r="P155" i="2"/>
  <c r="M156" i="2"/>
  <c r="N156" i="2"/>
  <c r="O156" i="2"/>
  <c r="P156" i="2"/>
  <c r="U156" i="2" s="1"/>
  <c r="M157" i="2"/>
  <c r="S157" i="2" s="1"/>
  <c r="N157" i="2"/>
  <c r="U157" i="2" s="1"/>
  <c r="O157" i="2"/>
  <c r="V157" i="2" s="1"/>
  <c r="P157" i="2"/>
  <c r="M158" i="2"/>
  <c r="N158" i="2"/>
  <c r="O158" i="2"/>
  <c r="V158" i="2" s="1"/>
  <c r="P158" i="2"/>
  <c r="M159" i="2"/>
  <c r="Q159" i="2" s="1"/>
  <c r="N159" i="2"/>
  <c r="O159" i="2"/>
  <c r="P159" i="2"/>
  <c r="M160" i="2"/>
  <c r="N160" i="2"/>
  <c r="T160" i="2" s="1"/>
  <c r="O160" i="2"/>
  <c r="V160" i="2" s="1"/>
  <c r="P160" i="2"/>
  <c r="M161" i="2"/>
  <c r="Q161" i="2" s="1"/>
  <c r="N161" i="2"/>
  <c r="O161" i="2"/>
  <c r="T161" i="2" s="1"/>
  <c r="P161" i="2"/>
  <c r="S161" i="2" s="1"/>
  <c r="M162" i="2"/>
  <c r="N162" i="2"/>
  <c r="O162" i="2"/>
  <c r="V162" i="2" s="1"/>
  <c r="P162" i="2"/>
  <c r="M163" i="2"/>
  <c r="N163" i="2"/>
  <c r="O163" i="2"/>
  <c r="V163" i="2" s="1"/>
  <c r="P163" i="2"/>
  <c r="M164" i="2"/>
  <c r="N164" i="2"/>
  <c r="O164" i="2"/>
  <c r="P164" i="2"/>
  <c r="M165" i="2"/>
  <c r="R165" i="2" s="1"/>
  <c r="N165" i="2"/>
  <c r="U165" i="2" s="1"/>
  <c r="O165" i="2"/>
  <c r="V165" i="2" s="1"/>
  <c r="P165" i="2"/>
  <c r="M166" i="2"/>
  <c r="N166" i="2"/>
  <c r="O166" i="2"/>
  <c r="P166" i="2"/>
  <c r="U166" i="2" s="1"/>
  <c r="M167" i="2"/>
  <c r="S167" i="2" s="1"/>
  <c r="N167" i="2"/>
  <c r="U167" i="2" s="1"/>
  <c r="O167" i="2"/>
  <c r="V167" i="2" s="1"/>
  <c r="P167" i="2"/>
  <c r="M168" i="2"/>
  <c r="N168" i="2"/>
  <c r="O168" i="2"/>
  <c r="V168" i="2" s="1"/>
  <c r="P168" i="2"/>
  <c r="M169" i="2"/>
  <c r="Q169" i="2" s="1"/>
  <c r="N169" i="2"/>
  <c r="O169" i="2"/>
  <c r="P169" i="2"/>
  <c r="M170" i="2"/>
  <c r="N170" i="2"/>
  <c r="O170" i="2"/>
  <c r="V170" i="2" s="1"/>
  <c r="P170" i="2"/>
  <c r="N2" i="2"/>
  <c r="O2" i="2"/>
  <c r="P2" i="2"/>
  <c r="M2" i="2"/>
  <c r="H48" i="14"/>
  <c r="I48" i="14"/>
  <c r="J48" i="14"/>
  <c r="H49" i="14"/>
  <c r="I49" i="14"/>
  <c r="J49" i="14"/>
  <c r="H50" i="14"/>
  <c r="I50" i="14"/>
  <c r="J50" i="14"/>
  <c r="G50" i="14"/>
  <c r="G49" i="14"/>
  <c r="G48" i="14"/>
  <c r="P50" i="14"/>
  <c r="O50" i="14"/>
  <c r="N50" i="14"/>
  <c r="O49" i="14"/>
  <c r="P49" i="14"/>
  <c r="N49" i="14"/>
  <c r="R4" i="14"/>
  <c r="S4" i="14"/>
  <c r="T4" i="14"/>
  <c r="R5" i="14"/>
  <c r="S5" i="14"/>
  <c r="T5" i="14"/>
  <c r="R6" i="14"/>
  <c r="S6" i="14"/>
  <c r="T6" i="14"/>
  <c r="R7" i="14"/>
  <c r="S7" i="14"/>
  <c r="T7" i="14"/>
  <c r="R8" i="14"/>
  <c r="S8" i="14"/>
  <c r="T8" i="14"/>
  <c r="R9" i="14"/>
  <c r="S9" i="14"/>
  <c r="T9" i="14"/>
  <c r="R10" i="14"/>
  <c r="S10" i="14"/>
  <c r="T10" i="14"/>
  <c r="R11" i="14"/>
  <c r="S11" i="14"/>
  <c r="T11" i="14"/>
  <c r="R12" i="14"/>
  <c r="S12" i="14"/>
  <c r="T12" i="14"/>
  <c r="R13" i="14"/>
  <c r="S13" i="14"/>
  <c r="T13" i="14"/>
  <c r="R14" i="14"/>
  <c r="S14" i="14"/>
  <c r="T14" i="14"/>
  <c r="R15" i="14"/>
  <c r="S15" i="14"/>
  <c r="T15" i="14"/>
  <c r="R16" i="14"/>
  <c r="S16" i="14"/>
  <c r="T16" i="14"/>
  <c r="R17" i="14"/>
  <c r="S17" i="14"/>
  <c r="T17" i="14"/>
  <c r="R18" i="14"/>
  <c r="S18" i="14"/>
  <c r="T18" i="14"/>
  <c r="R19" i="14"/>
  <c r="S19" i="14"/>
  <c r="T19" i="14"/>
  <c r="R20" i="14"/>
  <c r="S20" i="14"/>
  <c r="T20" i="14"/>
  <c r="R21" i="14"/>
  <c r="S21" i="14"/>
  <c r="T21" i="14"/>
  <c r="R22" i="14"/>
  <c r="S22" i="14"/>
  <c r="T22" i="14"/>
  <c r="R23" i="14"/>
  <c r="S23" i="14"/>
  <c r="T23" i="14"/>
  <c r="R24" i="14"/>
  <c r="S24" i="14"/>
  <c r="T24" i="14"/>
  <c r="R25" i="14"/>
  <c r="S25" i="14"/>
  <c r="T25" i="14"/>
  <c r="R26" i="14"/>
  <c r="S26" i="14"/>
  <c r="T26" i="14"/>
  <c r="R27" i="14"/>
  <c r="S27" i="14"/>
  <c r="T27" i="14"/>
  <c r="R28" i="14"/>
  <c r="S28" i="14"/>
  <c r="T28" i="14"/>
  <c r="R29" i="14"/>
  <c r="S29" i="14"/>
  <c r="T29" i="14"/>
  <c r="R30" i="14"/>
  <c r="S30" i="14"/>
  <c r="T30" i="14"/>
  <c r="R31" i="14"/>
  <c r="S31" i="14"/>
  <c r="T31" i="14"/>
  <c r="R32" i="14"/>
  <c r="S32" i="14"/>
  <c r="T32" i="14"/>
  <c r="R33" i="14"/>
  <c r="S33" i="14"/>
  <c r="T33" i="14"/>
  <c r="R34" i="14"/>
  <c r="S34" i="14"/>
  <c r="T34" i="14"/>
  <c r="R35" i="14"/>
  <c r="S35" i="14"/>
  <c r="T35" i="14"/>
  <c r="R36" i="14"/>
  <c r="S36" i="14"/>
  <c r="T36" i="14"/>
  <c r="R37" i="14"/>
  <c r="S37" i="14"/>
  <c r="T37" i="14"/>
  <c r="R38" i="14"/>
  <c r="S38" i="14"/>
  <c r="T38" i="14"/>
  <c r="R39" i="14"/>
  <c r="S39" i="14"/>
  <c r="T39" i="14"/>
  <c r="R40" i="14"/>
  <c r="S40" i="14"/>
  <c r="T40" i="14"/>
  <c r="R41" i="14"/>
  <c r="S41" i="14"/>
  <c r="T41" i="14"/>
  <c r="R42" i="14"/>
  <c r="S42" i="14"/>
  <c r="T42" i="14"/>
  <c r="R43" i="14"/>
  <c r="S43" i="14"/>
  <c r="T43" i="14"/>
  <c r="R44" i="14"/>
  <c r="S44" i="14"/>
  <c r="T44" i="14"/>
  <c r="R45" i="14"/>
  <c r="S45" i="14"/>
  <c r="T45" i="14"/>
  <c r="R46" i="14"/>
  <c r="S46" i="14"/>
  <c r="T46" i="14"/>
  <c r="R47" i="14"/>
  <c r="S47" i="14"/>
  <c r="T47" i="14"/>
  <c r="O4" i="14"/>
  <c r="P4" i="14"/>
  <c r="Q4" i="14"/>
  <c r="O5" i="14"/>
  <c r="P5" i="14"/>
  <c r="Q5" i="14"/>
  <c r="O6" i="14"/>
  <c r="P6" i="14"/>
  <c r="Q6" i="14"/>
  <c r="O7" i="14"/>
  <c r="P7" i="14"/>
  <c r="Q7" i="14"/>
  <c r="O8" i="14"/>
  <c r="P8" i="14"/>
  <c r="Q8" i="14"/>
  <c r="O9" i="14"/>
  <c r="P9" i="14"/>
  <c r="Q9" i="14"/>
  <c r="O10" i="14"/>
  <c r="P10" i="14"/>
  <c r="Q10" i="14"/>
  <c r="O11" i="14"/>
  <c r="P11" i="14"/>
  <c r="Q11" i="14"/>
  <c r="O12" i="14"/>
  <c r="P12" i="14"/>
  <c r="Q12" i="14"/>
  <c r="O13" i="14"/>
  <c r="P13" i="14"/>
  <c r="Q13" i="14"/>
  <c r="O14" i="14"/>
  <c r="P14" i="14"/>
  <c r="Q14" i="14"/>
  <c r="O15" i="14"/>
  <c r="P15" i="14"/>
  <c r="Q15" i="14"/>
  <c r="O16" i="14"/>
  <c r="P16" i="14"/>
  <c r="Q16" i="14"/>
  <c r="O17" i="14"/>
  <c r="P17" i="14"/>
  <c r="Q17" i="14"/>
  <c r="O18" i="14"/>
  <c r="P18" i="14"/>
  <c r="Q18" i="14"/>
  <c r="O19" i="14"/>
  <c r="P19" i="14"/>
  <c r="Q19" i="14"/>
  <c r="O20" i="14"/>
  <c r="P20" i="14"/>
  <c r="Q20" i="14"/>
  <c r="O21" i="14"/>
  <c r="P21" i="14"/>
  <c r="Q21" i="14"/>
  <c r="O22" i="14"/>
  <c r="P22" i="14"/>
  <c r="Q22" i="14"/>
  <c r="O23" i="14"/>
  <c r="P23" i="14"/>
  <c r="Q23" i="14"/>
  <c r="O24" i="14"/>
  <c r="P24" i="14"/>
  <c r="Q24" i="14"/>
  <c r="O25" i="14"/>
  <c r="P25" i="14"/>
  <c r="Q25" i="14"/>
  <c r="O26" i="14"/>
  <c r="P26" i="14"/>
  <c r="Q26" i="14"/>
  <c r="O27" i="14"/>
  <c r="P27" i="14"/>
  <c r="Q27" i="14"/>
  <c r="O28" i="14"/>
  <c r="P28" i="14"/>
  <c r="Q28" i="14"/>
  <c r="O29" i="14"/>
  <c r="P29" i="14"/>
  <c r="Q29" i="14"/>
  <c r="O30" i="14"/>
  <c r="P30" i="14"/>
  <c r="Q30" i="14"/>
  <c r="O31" i="14"/>
  <c r="P31" i="14"/>
  <c r="Q31" i="14"/>
  <c r="O32" i="14"/>
  <c r="P32" i="14"/>
  <c r="Q32" i="14"/>
  <c r="O33" i="14"/>
  <c r="P33" i="14"/>
  <c r="Q33" i="14"/>
  <c r="O34" i="14"/>
  <c r="P34" i="14"/>
  <c r="Q34" i="14"/>
  <c r="O35" i="14"/>
  <c r="P35" i="14"/>
  <c r="Q35" i="14"/>
  <c r="O36" i="14"/>
  <c r="P36" i="14"/>
  <c r="Q36" i="14"/>
  <c r="O37" i="14"/>
  <c r="P37" i="14"/>
  <c r="Q37" i="14"/>
  <c r="O38" i="14"/>
  <c r="P38" i="14"/>
  <c r="Q38" i="14"/>
  <c r="O39" i="14"/>
  <c r="P39" i="14"/>
  <c r="Q39" i="14"/>
  <c r="O40" i="14"/>
  <c r="P40" i="14"/>
  <c r="Q40" i="14"/>
  <c r="O41" i="14"/>
  <c r="P41" i="14"/>
  <c r="Q41" i="14"/>
  <c r="O42" i="14"/>
  <c r="P42" i="14"/>
  <c r="Q42" i="14"/>
  <c r="O43" i="14"/>
  <c r="P43" i="14"/>
  <c r="Q43" i="14"/>
  <c r="O44" i="14"/>
  <c r="P44" i="14"/>
  <c r="Q44" i="14"/>
  <c r="O45" i="14"/>
  <c r="P45" i="14"/>
  <c r="Q45" i="14"/>
  <c r="O46" i="14"/>
  <c r="P46" i="14"/>
  <c r="Q46" i="14"/>
  <c r="O47" i="14"/>
  <c r="P47" i="14"/>
  <c r="Q47" i="14"/>
  <c r="P3" i="14"/>
  <c r="Q3" i="14"/>
  <c r="T3" i="14" s="1"/>
  <c r="O3" i="14"/>
  <c r="S3" i="14"/>
  <c r="P9" i="13"/>
  <c r="O9" i="13"/>
  <c r="N9" i="13"/>
  <c r="O8" i="13"/>
  <c r="P8" i="13"/>
  <c r="N8" i="13"/>
  <c r="H7" i="13"/>
  <c r="I7" i="13"/>
  <c r="J7" i="13"/>
  <c r="H8" i="13"/>
  <c r="I8" i="13"/>
  <c r="J8" i="13"/>
  <c r="H9" i="13"/>
  <c r="I9" i="13"/>
  <c r="J9" i="13"/>
  <c r="G9" i="13"/>
  <c r="G8" i="13"/>
  <c r="G7" i="13"/>
  <c r="O4" i="13"/>
  <c r="P4" i="13"/>
  <c r="Q4" i="13"/>
  <c r="O5" i="13"/>
  <c r="P5" i="13"/>
  <c r="Q5" i="13"/>
  <c r="O6" i="13"/>
  <c r="P6" i="13"/>
  <c r="Q6" i="13"/>
  <c r="T6" i="13"/>
  <c r="Q3" i="13"/>
  <c r="P3" i="13"/>
  <c r="O3" i="13"/>
  <c r="P25" i="12"/>
  <c r="O25" i="12"/>
  <c r="O24" i="12"/>
  <c r="P24" i="12"/>
  <c r="R4" i="12"/>
  <c r="S4" i="12"/>
  <c r="T4" i="12"/>
  <c r="R5" i="12"/>
  <c r="S5" i="12"/>
  <c r="T5" i="12"/>
  <c r="R6" i="12"/>
  <c r="S6" i="12"/>
  <c r="T6" i="12"/>
  <c r="R7" i="12"/>
  <c r="S7" i="12"/>
  <c r="T7" i="12"/>
  <c r="R8" i="12"/>
  <c r="S8" i="12"/>
  <c r="T8" i="12"/>
  <c r="R9" i="12"/>
  <c r="S9" i="12"/>
  <c r="T9" i="12"/>
  <c r="R10" i="12"/>
  <c r="S10" i="12"/>
  <c r="T10" i="12"/>
  <c r="R11" i="12"/>
  <c r="S11" i="12"/>
  <c r="T11" i="12"/>
  <c r="R12" i="12"/>
  <c r="S12" i="12"/>
  <c r="T12" i="12"/>
  <c r="R13" i="12"/>
  <c r="S13" i="12"/>
  <c r="T13" i="12"/>
  <c r="R14" i="12"/>
  <c r="S14" i="12"/>
  <c r="T14" i="12"/>
  <c r="R15" i="12"/>
  <c r="S15" i="12"/>
  <c r="T15" i="12"/>
  <c r="R16" i="12"/>
  <c r="S16" i="12"/>
  <c r="T16" i="12"/>
  <c r="R17" i="12"/>
  <c r="S17" i="12"/>
  <c r="T17" i="12"/>
  <c r="R18" i="12"/>
  <c r="S18" i="12"/>
  <c r="T18" i="12"/>
  <c r="R19" i="12"/>
  <c r="S19" i="12"/>
  <c r="T19" i="12"/>
  <c r="R20" i="12"/>
  <c r="S20" i="12"/>
  <c r="T20" i="12"/>
  <c r="R21" i="12"/>
  <c r="S21" i="12"/>
  <c r="T21" i="12"/>
  <c r="R22" i="12"/>
  <c r="S22" i="12"/>
  <c r="T22" i="12"/>
  <c r="T3" i="12"/>
  <c r="S3" i="12"/>
  <c r="R3" i="12"/>
  <c r="R4" i="11"/>
  <c r="S4" i="11"/>
  <c r="T4" i="11"/>
  <c r="R5" i="11"/>
  <c r="S5" i="11"/>
  <c r="T5" i="11"/>
  <c r="R6" i="11"/>
  <c r="S6" i="11"/>
  <c r="T6" i="11"/>
  <c r="R7" i="11"/>
  <c r="S7" i="11"/>
  <c r="S47" i="11" s="1"/>
  <c r="O48" i="11" s="1"/>
  <c r="T7" i="11"/>
  <c r="T47" i="11" s="1"/>
  <c r="P48" i="11" s="1"/>
  <c r="R8" i="11"/>
  <c r="R47" i="11" s="1"/>
  <c r="N48" i="11" s="1"/>
  <c r="S8" i="11"/>
  <c r="T8" i="11"/>
  <c r="R9" i="11"/>
  <c r="S9" i="11"/>
  <c r="T9" i="11"/>
  <c r="R10" i="11"/>
  <c r="S10" i="11"/>
  <c r="T10" i="11"/>
  <c r="R11" i="11"/>
  <c r="S11" i="11"/>
  <c r="T11" i="11"/>
  <c r="R12" i="11"/>
  <c r="S12" i="11"/>
  <c r="T12" i="11"/>
  <c r="R13" i="11"/>
  <c r="S13" i="11"/>
  <c r="T13" i="11"/>
  <c r="R14" i="11"/>
  <c r="S14" i="11"/>
  <c r="T14" i="11"/>
  <c r="R15" i="11"/>
  <c r="S15" i="11"/>
  <c r="T15" i="11"/>
  <c r="R16" i="11"/>
  <c r="S16" i="11"/>
  <c r="T16" i="11"/>
  <c r="R17" i="11"/>
  <c r="S17" i="11"/>
  <c r="T17" i="11"/>
  <c r="R18" i="11"/>
  <c r="S18" i="11"/>
  <c r="T18" i="11"/>
  <c r="R19" i="11"/>
  <c r="S19" i="11"/>
  <c r="T19" i="11"/>
  <c r="R20" i="11"/>
  <c r="S20" i="11"/>
  <c r="T20" i="11"/>
  <c r="R21" i="11"/>
  <c r="S21" i="11"/>
  <c r="T21" i="11"/>
  <c r="R22" i="11"/>
  <c r="S22" i="11"/>
  <c r="T22" i="11"/>
  <c r="R23" i="11"/>
  <c r="S23" i="11"/>
  <c r="T23" i="11"/>
  <c r="R24" i="11"/>
  <c r="S24" i="11"/>
  <c r="T24" i="11"/>
  <c r="R25" i="11"/>
  <c r="S25" i="11"/>
  <c r="T25" i="11"/>
  <c r="R26" i="11"/>
  <c r="S26" i="11"/>
  <c r="T26" i="11"/>
  <c r="R27" i="11"/>
  <c r="S27" i="11"/>
  <c r="T27" i="11"/>
  <c r="R28" i="11"/>
  <c r="S28" i="11"/>
  <c r="T28" i="11"/>
  <c r="R29" i="11"/>
  <c r="S29" i="11"/>
  <c r="T29" i="11"/>
  <c r="R30" i="11"/>
  <c r="S30" i="11"/>
  <c r="T30" i="11"/>
  <c r="R31" i="11"/>
  <c r="S31" i="11"/>
  <c r="T31" i="11"/>
  <c r="R32" i="11"/>
  <c r="S32" i="11"/>
  <c r="T32" i="11"/>
  <c r="R33" i="11"/>
  <c r="S33" i="11"/>
  <c r="T33" i="11"/>
  <c r="R34" i="11"/>
  <c r="S34" i="11"/>
  <c r="T34" i="11"/>
  <c r="R35" i="11"/>
  <c r="S35" i="11"/>
  <c r="T35" i="11"/>
  <c r="R36" i="11"/>
  <c r="S36" i="11"/>
  <c r="T36" i="11"/>
  <c r="R37" i="11"/>
  <c r="S37" i="11"/>
  <c r="T37" i="11"/>
  <c r="R38" i="11"/>
  <c r="S38" i="11"/>
  <c r="T38" i="11"/>
  <c r="R39" i="11"/>
  <c r="S39" i="11"/>
  <c r="T39" i="11"/>
  <c r="R40" i="11"/>
  <c r="S40" i="11"/>
  <c r="T40" i="11"/>
  <c r="R41" i="11"/>
  <c r="S41" i="11"/>
  <c r="T41" i="11"/>
  <c r="R42" i="11"/>
  <c r="S42" i="11"/>
  <c r="T42" i="11"/>
  <c r="R43" i="11"/>
  <c r="S43" i="11"/>
  <c r="T43" i="11"/>
  <c r="R44" i="11"/>
  <c r="S44" i="11"/>
  <c r="T44" i="11"/>
  <c r="R45" i="11"/>
  <c r="S45" i="11"/>
  <c r="T45" i="11"/>
  <c r="R46" i="11"/>
  <c r="S46" i="11"/>
  <c r="T46" i="11"/>
  <c r="T3" i="11"/>
  <c r="S3" i="11"/>
  <c r="R3" i="11"/>
  <c r="H25" i="12"/>
  <c r="I25" i="12"/>
  <c r="J25" i="12"/>
  <c r="G25" i="12"/>
  <c r="H24" i="12"/>
  <c r="I24" i="12"/>
  <c r="J24" i="12"/>
  <c r="G24" i="12"/>
  <c r="H23" i="12"/>
  <c r="I23" i="12"/>
  <c r="J23" i="12"/>
  <c r="G23" i="12"/>
  <c r="N25" i="12"/>
  <c r="O4" i="12"/>
  <c r="P4" i="12"/>
  <c r="Q4" i="12"/>
  <c r="O5" i="12"/>
  <c r="P5" i="12"/>
  <c r="Q5" i="12"/>
  <c r="O6" i="12"/>
  <c r="P6" i="12"/>
  <c r="Q6" i="12"/>
  <c r="O7" i="12"/>
  <c r="P7" i="12"/>
  <c r="Q7" i="12"/>
  <c r="O8" i="12"/>
  <c r="P8" i="12"/>
  <c r="Q8" i="12"/>
  <c r="O9" i="12"/>
  <c r="P9" i="12"/>
  <c r="Q9" i="12"/>
  <c r="O10" i="12"/>
  <c r="P10" i="12"/>
  <c r="Q10" i="12"/>
  <c r="O11" i="12"/>
  <c r="P11" i="12"/>
  <c r="Q11" i="12"/>
  <c r="O12" i="12"/>
  <c r="P12" i="12"/>
  <c r="Q12" i="12"/>
  <c r="O13" i="12"/>
  <c r="P13" i="12"/>
  <c r="Q13" i="12"/>
  <c r="O14" i="12"/>
  <c r="P14" i="12"/>
  <c r="Q14" i="12"/>
  <c r="O15" i="12"/>
  <c r="P15" i="12"/>
  <c r="Q15" i="12"/>
  <c r="O16" i="12"/>
  <c r="P16" i="12"/>
  <c r="Q16" i="12"/>
  <c r="O17" i="12"/>
  <c r="P17" i="12"/>
  <c r="Q17" i="12"/>
  <c r="O18" i="12"/>
  <c r="P18" i="12"/>
  <c r="Q18" i="12"/>
  <c r="O19" i="12"/>
  <c r="P19" i="12"/>
  <c r="Q19" i="12"/>
  <c r="O20" i="12"/>
  <c r="P20" i="12"/>
  <c r="Q20" i="12"/>
  <c r="O21" i="12"/>
  <c r="P21" i="12"/>
  <c r="Q21" i="12"/>
  <c r="O22" i="12"/>
  <c r="P22" i="12"/>
  <c r="Q22" i="12"/>
  <c r="Q3" i="12"/>
  <c r="P3" i="12"/>
  <c r="O3" i="12"/>
  <c r="P49" i="11"/>
  <c r="O49" i="11"/>
  <c r="N49" i="11"/>
  <c r="O46" i="11"/>
  <c r="P46" i="11"/>
  <c r="Q46" i="11"/>
  <c r="O4" i="11"/>
  <c r="P4" i="11"/>
  <c r="Q4" i="11"/>
  <c r="O5" i="11"/>
  <c r="P5" i="11"/>
  <c r="Q5" i="11"/>
  <c r="O6" i="11"/>
  <c r="P6" i="11"/>
  <c r="Q6" i="11"/>
  <c r="O7" i="11"/>
  <c r="P7" i="11"/>
  <c r="Q7" i="11"/>
  <c r="O8" i="11"/>
  <c r="P8" i="11"/>
  <c r="Q8" i="11"/>
  <c r="O9" i="11"/>
  <c r="P9" i="11"/>
  <c r="Q9" i="11"/>
  <c r="O10" i="11"/>
  <c r="P10" i="11"/>
  <c r="Q10" i="11"/>
  <c r="O11" i="11"/>
  <c r="P11" i="11"/>
  <c r="Q11" i="11"/>
  <c r="O12" i="11"/>
  <c r="P12" i="11"/>
  <c r="Q12" i="11"/>
  <c r="O13" i="11"/>
  <c r="P13" i="11"/>
  <c r="Q13" i="11"/>
  <c r="O14" i="11"/>
  <c r="P14" i="11"/>
  <c r="Q14" i="11"/>
  <c r="O15" i="11"/>
  <c r="P15" i="11"/>
  <c r="Q15" i="11"/>
  <c r="O16" i="11"/>
  <c r="P16" i="11"/>
  <c r="Q16" i="11"/>
  <c r="O17" i="11"/>
  <c r="P17" i="11"/>
  <c r="Q17" i="11"/>
  <c r="O18" i="11"/>
  <c r="P18" i="11"/>
  <c r="Q18" i="11"/>
  <c r="O19" i="11"/>
  <c r="P19" i="11"/>
  <c r="Q19" i="11"/>
  <c r="O20" i="11"/>
  <c r="P20" i="11"/>
  <c r="Q20" i="11"/>
  <c r="O21" i="11"/>
  <c r="P21" i="11"/>
  <c r="Q21" i="11"/>
  <c r="O22" i="11"/>
  <c r="P22" i="11"/>
  <c r="Q22" i="11"/>
  <c r="O23" i="11"/>
  <c r="P23" i="11"/>
  <c r="Q23" i="11"/>
  <c r="O24" i="11"/>
  <c r="P24" i="11"/>
  <c r="Q24" i="11"/>
  <c r="O25" i="11"/>
  <c r="P25" i="11"/>
  <c r="Q25" i="11"/>
  <c r="O26" i="11"/>
  <c r="P26" i="11"/>
  <c r="Q26" i="11"/>
  <c r="O27" i="11"/>
  <c r="P27" i="11"/>
  <c r="Q27" i="11"/>
  <c r="O28" i="11"/>
  <c r="P28" i="11"/>
  <c r="Q28" i="11"/>
  <c r="O29" i="11"/>
  <c r="P29" i="11"/>
  <c r="Q29" i="11"/>
  <c r="O30" i="11"/>
  <c r="P30" i="11"/>
  <c r="Q30" i="11"/>
  <c r="O31" i="11"/>
  <c r="P31" i="11"/>
  <c r="Q31" i="11"/>
  <c r="O32" i="11"/>
  <c r="P32" i="11"/>
  <c r="Q32" i="11"/>
  <c r="O33" i="11"/>
  <c r="P33" i="11"/>
  <c r="Q33" i="11"/>
  <c r="O34" i="11"/>
  <c r="P34" i="11"/>
  <c r="Q34" i="11"/>
  <c r="O35" i="11"/>
  <c r="P35" i="11"/>
  <c r="Q35" i="11"/>
  <c r="O36" i="11"/>
  <c r="P36" i="11"/>
  <c r="Q36" i="11"/>
  <c r="O37" i="11"/>
  <c r="P37" i="11"/>
  <c r="Q37" i="11"/>
  <c r="O38" i="11"/>
  <c r="P38" i="11"/>
  <c r="Q38" i="11"/>
  <c r="O39" i="11"/>
  <c r="P39" i="11"/>
  <c r="Q39" i="11"/>
  <c r="O40" i="11"/>
  <c r="P40" i="11"/>
  <c r="Q40" i="11"/>
  <c r="O41" i="11"/>
  <c r="P41" i="11"/>
  <c r="Q41" i="11"/>
  <c r="O42" i="11"/>
  <c r="P42" i="11"/>
  <c r="Q42" i="11"/>
  <c r="O43" i="11"/>
  <c r="P43" i="11"/>
  <c r="Q43" i="11"/>
  <c r="O44" i="11"/>
  <c r="P44" i="11"/>
  <c r="Q44" i="11"/>
  <c r="O45" i="11"/>
  <c r="P45" i="11"/>
  <c r="Q45" i="11"/>
  <c r="P3" i="11"/>
  <c r="Q3" i="11"/>
  <c r="O3" i="11"/>
  <c r="H47" i="11"/>
  <c r="I47" i="11"/>
  <c r="J47" i="11"/>
  <c r="H48" i="11"/>
  <c r="I48" i="11"/>
  <c r="J48" i="11"/>
  <c r="H49" i="11"/>
  <c r="I49" i="11"/>
  <c r="J49" i="11"/>
  <c r="G49" i="11"/>
  <c r="G48" i="11"/>
  <c r="G47" i="11"/>
  <c r="T39" i="7"/>
  <c r="W39" i="7" s="1"/>
  <c r="M36" i="7"/>
  <c r="J39" i="7"/>
  <c r="J36" i="7"/>
  <c r="J88" i="7"/>
  <c r="Q69" i="7"/>
  <c r="N69" i="7"/>
  <c r="M69" i="7"/>
  <c r="J69" i="7"/>
  <c r="J84" i="7"/>
  <c r="J3" i="7"/>
  <c r="R62" i="7"/>
  <c r="N62" i="7"/>
  <c r="Q62" i="7"/>
  <c r="Q11" i="7"/>
  <c r="N11" i="7"/>
  <c r="O65" i="7"/>
  <c r="J65" i="7"/>
  <c r="Q65" i="7"/>
  <c r="N65" i="7"/>
  <c r="J70" i="7"/>
  <c r="Q70" i="7"/>
  <c r="N70" i="7"/>
  <c r="J29" i="7"/>
  <c r="J66" i="7"/>
  <c r="J6" i="7"/>
  <c r="J31" i="7"/>
  <c r="M6" i="7"/>
  <c r="O6" i="7"/>
  <c r="Q59" i="7"/>
  <c r="Q43" i="7"/>
  <c r="N43" i="7"/>
  <c r="N59" i="7"/>
  <c r="L59" i="7"/>
  <c r="J64" i="7"/>
  <c r="J86" i="7"/>
  <c r="J72" i="7"/>
  <c r="J71" i="7"/>
  <c r="J49" i="7"/>
  <c r="J42" i="7"/>
  <c r="J40" i="7"/>
  <c r="J35" i="7"/>
  <c r="J21" i="7"/>
  <c r="J16" i="7"/>
  <c r="J18" i="7"/>
  <c r="J9" i="7"/>
  <c r="R57" i="7"/>
  <c r="O57" i="7"/>
  <c r="Q67" i="7"/>
  <c r="N67" i="7"/>
  <c r="O87" i="7"/>
  <c r="J46" i="7"/>
  <c r="J27" i="7"/>
  <c r="N27" i="7"/>
  <c r="M27" i="7"/>
  <c r="O27" i="7"/>
  <c r="M26" i="7"/>
  <c r="O26" i="7"/>
  <c r="J80" i="7"/>
  <c r="O80" i="7"/>
  <c r="J53" i="7"/>
  <c r="O53" i="7"/>
  <c r="O50" i="7"/>
  <c r="N50" i="7"/>
  <c r="J50" i="7"/>
  <c r="O44" i="7"/>
  <c r="J82" i="7"/>
  <c r="O85" i="7"/>
  <c r="J47" i="7"/>
  <c r="J44" i="7"/>
  <c r="J74" i="7"/>
  <c r="J48" i="7"/>
  <c r="J63" i="7"/>
  <c r="J51" i="7"/>
  <c r="J54" i="7"/>
  <c r="W4" i="7"/>
  <c r="X4" i="7" s="1"/>
  <c r="W5" i="7"/>
  <c r="X5" i="7" s="1"/>
  <c r="W6" i="7"/>
  <c r="X6" i="7" s="1"/>
  <c r="W7" i="7"/>
  <c r="X7" i="7" s="1"/>
  <c r="W8" i="7"/>
  <c r="X8" i="7" s="1"/>
  <c r="W9" i="7"/>
  <c r="X9" i="7" s="1"/>
  <c r="W10" i="7"/>
  <c r="X10" i="7" s="1"/>
  <c r="W11" i="7"/>
  <c r="X11" i="7" s="1"/>
  <c r="W12" i="7"/>
  <c r="X12" i="7" s="1"/>
  <c r="W13" i="7"/>
  <c r="X13" i="7" s="1"/>
  <c r="W14" i="7"/>
  <c r="X14" i="7" s="1"/>
  <c r="W15" i="7"/>
  <c r="X15" i="7" s="1"/>
  <c r="W16" i="7"/>
  <c r="X16" i="7" s="1"/>
  <c r="W17" i="7"/>
  <c r="X17" i="7" s="1"/>
  <c r="W18" i="7"/>
  <c r="X18" i="7" s="1"/>
  <c r="W19" i="7"/>
  <c r="X19" i="7" s="1"/>
  <c r="W20" i="7"/>
  <c r="X20" i="7" s="1"/>
  <c r="W21" i="7"/>
  <c r="X21" i="7" s="1"/>
  <c r="W22" i="7"/>
  <c r="X22" i="7" s="1"/>
  <c r="W23" i="7"/>
  <c r="X23" i="7" s="1"/>
  <c r="W24" i="7"/>
  <c r="X24" i="7" s="1"/>
  <c r="W25" i="7"/>
  <c r="X25" i="7" s="1"/>
  <c r="W26" i="7"/>
  <c r="X26" i="7"/>
  <c r="W27" i="7"/>
  <c r="X27" i="7" s="1"/>
  <c r="W28" i="7"/>
  <c r="X28" i="7" s="1"/>
  <c r="W29" i="7"/>
  <c r="X29" i="7" s="1"/>
  <c r="W30" i="7"/>
  <c r="X30" i="7" s="1"/>
  <c r="W31" i="7"/>
  <c r="X31" i="7" s="1"/>
  <c r="W32" i="7"/>
  <c r="X32" i="7" s="1"/>
  <c r="W33" i="7"/>
  <c r="X33" i="7" s="1"/>
  <c r="W34" i="7"/>
  <c r="X34" i="7" s="1"/>
  <c r="W35" i="7"/>
  <c r="X35" i="7"/>
  <c r="W36" i="7"/>
  <c r="X36" i="7" s="1"/>
  <c r="W37" i="7"/>
  <c r="X37" i="7" s="1"/>
  <c r="W38" i="7"/>
  <c r="X38" i="7" s="1"/>
  <c r="W40" i="7"/>
  <c r="X40" i="7" s="1"/>
  <c r="W41" i="7"/>
  <c r="X41" i="7" s="1"/>
  <c r="W42" i="7"/>
  <c r="X42" i="7" s="1"/>
  <c r="W43" i="7"/>
  <c r="X43" i="7" s="1"/>
  <c r="W44" i="7"/>
  <c r="X44" i="7" s="1"/>
  <c r="W45" i="7"/>
  <c r="X45" i="7" s="1"/>
  <c r="W46" i="7"/>
  <c r="X46" i="7"/>
  <c r="W47" i="7"/>
  <c r="X47" i="7" s="1"/>
  <c r="W48" i="7"/>
  <c r="X48" i="7" s="1"/>
  <c r="W49" i="7"/>
  <c r="X49" i="7" s="1"/>
  <c r="W50" i="7"/>
  <c r="X50" i="7" s="1"/>
  <c r="W51" i="7"/>
  <c r="X51" i="7" s="1"/>
  <c r="W52" i="7"/>
  <c r="X52" i="7" s="1"/>
  <c r="W53" i="7"/>
  <c r="X53" i="7" s="1"/>
  <c r="W54" i="7"/>
  <c r="X54" i="7" s="1"/>
  <c r="W55" i="7"/>
  <c r="X55" i="7"/>
  <c r="W56" i="7"/>
  <c r="X56" i="7" s="1"/>
  <c r="W57" i="7"/>
  <c r="X57" i="7" s="1"/>
  <c r="W58" i="7"/>
  <c r="X58" i="7" s="1"/>
  <c r="W59" i="7"/>
  <c r="X59" i="7"/>
  <c r="W60" i="7"/>
  <c r="X60" i="7" s="1"/>
  <c r="W61" i="7"/>
  <c r="X61" i="7" s="1"/>
  <c r="W62" i="7"/>
  <c r="X62" i="7" s="1"/>
  <c r="W63" i="7"/>
  <c r="X63" i="7" s="1"/>
  <c r="W64" i="7"/>
  <c r="X64" i="7" s="1"/>
  <c r="W65" i="7"/>
  <c r="X65" i="7" s="1"/>
  <c r="W66" i="7"/>
  <c r="X66" i="7" s="1"/>
  <c r="W67" i="7"/>
  <c r="X67" i="7" s="1"/>
  <c r="W68" i="7"/>
  <c r="X68" i="7" s="1"/>
  <c r="W69" i="7"/>
  <c r="X69" i="7" s="1"/>
  <c r="W70" i="7"/>
  <c r="X70" i="7" s="1"/>
  <c r="W71" i="7"/>
  <c r="X71" i="7" s="1"/>
  <c r="W72" i="7"/>
  <c r="X72" i="7" s="1"/>
  <c r="W73" i="7"/>
  <c r="X73" i="7" s="1"/>
  <c r="W74" i="7"/>
  <c r="X74" i="7" s="1"/>
  <c r="W75" i="7"/>
  <c r="X75" i="7" s="1"/>
  <c r="W76" i="7"/>
  <c r="X76" i="7" s="1"/>
  <c r="W77" i="7"/>
  <c r="X77" i="7"/>
  <c r="W78" i="7"/>
  <c r="X78" i="7" s="1"/>
  <c r="W79" i="7"/>
  <c r="X79" i="7" s="1"/>
  <c r="W80" i="7"/>
  <c r="X80" i="7" s="1"/>
  <c r="W81" i="7"/>
  <c r="X81" i="7" s="1"/>
  <c r="W82" i="7"/>
  <c r="X82" i="7" s="1"/>
  <c r="W83" i="7"/>
  <c r="X83" i="7" s="1"/>
  <c r="W84" i="7"/>
  <c r="X84" i="7" s="1"/>
  <c r="W85" i="7"/>
  <c r="X85" i="7" s="1"/>
  <c r="W86" i="7"/>
  <c r="X86" i="7" s="1"/>
  <c r="W87" i="7"/>
  <c r="X87" i="7" s="1"/>
  <c r="W88" i="7"/>
  <c r="X88" i="7" s="1"/>
  <c r="W89" i="7"/>
  <c r="X89" i="7" s="1"/>
  <c r="W90" i="7"/>
  <c r="X90" i="7" s="1"/>
  <c r="W91" i="7"/>
  <c r="X91" i="7" s="1"/>
  <c r="W3" i="7"/>
  <c r="X3" i="7" s="1"/>
  <c r="J17" i="7"/>
  <c r="O23" i="7"/>
  <c r="K55" i="7"/>
  <c r="K18" i="6"/>
  <c r="M23" i="6"/>
  <c r="J22" i="6"/>
  <c r="J17" i="6"/>
  <c r="K40" i="6"/>
  <c r="J27" i="6"/>
  <c r="J19" i="6"/>
  <c r="J49" i="6"/>
  <c r="J34" i="6"/>
  <c r="P24" i="6"/>
  <c r="K43" i="6"/>
  <c r="K35" i="6"/>
  <c r="J32" i="6"/>
  <c r="F54" i="5"/>
  <c r="F53" i="5"/>
  <c r="F53" i="4"/>
  <c r="F52" i="4"/>
  <c r="I181" i="1"/>
  <c r="I175" i="1"/>
  <c r="T90" i="2" l="1"/>
  <c r="T75" i="2"/>
  <c r="R40" i="2"/>
  <c r="T173" i="2"/>
  <c r="R90" i="2"/>
  <c r="S147" i="2"/>
  <c r="S107" i="2"/>
  <c r="T35" i="2"/>
  <c r="T156" i="2"/>
  <c r="T66" i="2"/>
  <c r="T16" i="2"/>
  <c r="Q106" i="2"/>
  <c r="Q96" i="2"/>
  <c r="Q56" i="2"/>
  <c r="Q46" i="2"/>
  <c r="Q36" i="2"/>
  <c r="Q26" i="2"/>
  <c r="Q16" i="2"/>
  <c r="Q6" i="2"/>
  <c r="R151" i="2"/>
  <c r="T95" i="2"/>
  <c r="T70" i="2"/>
  <c r="T55" i="2"/>
  <c r="R31" i="2"/>
  <c r="T135" i="2"/>
  <c r="R81" i="2"/>
  <c r="Q173" i="2"/>
  <c r="V173" i="2"/>
  <c r="T126" i="2"/>
  <c r="T86" i="2"/>
  <c r="T46" i="2"/>
  <c r="Q156" i="2"/>
  <c r="Q116" i="2"/>
  <c r="R121" i="2"/>
  <c r="R95" i="2"/>
  <c r="T5" i="2"/>
  <c r="Q155" i="2"/>
  <c r="Q145" i="2"/>
  <c r="Q135" i="2"/>
  <c r="Q115" i="2"/>
  <c r="Q105" i="2"/>
  <c r="Q95" i="2"/>
  <c r="Q85" i="2"/>
  <c r="Q75" i="2"/>
  <c r="Q65" i="2"/>
  <c r="Q55" i="2"/>
  <c r="Q45" i="2"/>
  <c r="Q35" i="2"/>
  <c r="Q25" i="2"/>
  <c r="Q15" i="2"/>
  <c r="T150" i="2"/>
  <c r="S134" i="2"/>
  <c r="U80" i="2"/>
  <c r="R41" i="2"/>
  <c r="T30" i="2"/>
  <c r="R5" i="2"/>
  <c r="Q136" i="2"/>
  <c r="Q66" i="2"/>
  <c r="Q165" i="2"/>
  <c r="R161" i="2"/>
  <c r="S150" i="2"/>
  <c r="U120" i="2"/>
  <c r="T105" i="2"/>
  <c r="T65" i="2"/>
  <c r="S30" i="2"/>
  <c r="T166" i="2"/>
  <c r="T96" i="2"/>
  <c r="T6" i="2"/>
  <c r="Q166" i="2"/>
  <c r="Q126" i="2"/>
  <c r="Q76" i="2"/>
  <c r="Q170" i="2"/>
  <c r="Q125" i="2"/>
  <c r="V169" i="2"/>
  <c r="V159" i="2"/>
  <c r="V149" i="2"/>
  <c r="V139" i="2"/>
  <c r="R134" i="2"/>
  <c r="V129" i="2"/>
  <c r="V119" i="2"/>
  <c r="V109" i="2"/>
  <c r="V99" i="2"/>
  <c r="V89" i="2"/>
  <c r="V79" i="2"/>
  <c r="V69" i="2"/>
  <c r="V59" i="2"/>
  <c r="V49" i="2"/>
  <c r="V39" i="2"/>
  <c r="R34" i="2"/>
  <c r="V29" i="2"/>
  <c r="V19" i="2"/>
  <c r="R14" i="2"/>
  <c r="V9" i="2"/>
  <c r="S105" i="2"/>
  <c r="R91" i="2"/>
  <c r="S80" i="2"/>
  <c r="S65" i="2"/>
  <c r="R30" i="2"/>
  <c r="T15" i="2"/>
  <c r="T136" i="2"/>
  <c r="T106" i="2"/>
  <c r="T76" i="2"/>
  <c r="Q150" i="2"/>
  <c r="U164" i="2"/>
  <c r="U154" i="2"/>
  <c r="U144" i="2"/>
  <c r="U134" i="2"/>
  <c r="U124" i="2"/>
  <c r="T119" i="2"/>
  <c r="U114" i="2"/>
  <c r="T109" i="2"/>
  <c r="U104" i="2"/>
  <c r="T99" i="2"/>
  <c r="U94" i="2"/>
  <c r="T89" i="2"/>
  <c r="U84" i="2"/>
  <c r="U74" i="2"/>
  <c r="T69" i="2"/>
  <c r="U64" i="2"/>
  <c r="U54" i="2"/>
  <c r="T49" i="2"/>
  <c r="U44" i="2"/>
  <c r="T39" i="2"/>
  <c r="U34" i="2"/>
  <c r="U24" i="2"/>
  <c r="U14" i="2"/>
  <c r="U4" i="2"/>
  <c r="T145" i="2"/>
  <c r="R131" i="2"/>
  <c r="S120" i="2"/>
  <c r="R105" i="2"/>
  <c r="R80" i="2"/>
  <c r="R65" i="2"/>
  <c r="R51" i="2"/>
  <c r="U40" i="2"/>
  <c r="S15" i="2"/>
  <c r="S4" i="2"/>
  <c r="T56" i="2"/>
  <c r="T26" i="2"/>
  <c r="Q146" i="2"/>
  <c r="Q86" i="2"/>
  <c r="R55" i="2"/>
  <c r="R135" i="2"/>
  <c r="Q160" i="2"/>
  <c r="Q140" i="2"/>
  <c r="Q149" i="2"/>
  <c r="Q109" i="2"/>
  <c r="Q99" i="2"/>
  <c r="Q79" i="2"/>
  <c r="Q69" i="2"/>
  <c r="Q59" i="2"/>
  <c r="Q49" i="2"/>
  <c r="Q29" i="2"/>
  <c r="Q19" i="2"/>
  <c r="Q9" i="2"/>
  <c r="U160" i="2"/>
  <c r="S145" i="2"/>
  <c r="R120" i="2"/>
  <c r="S104" i="2"/>
  <c r="R15" i="2"/>
  <c r="T146" i="2"/>
  <c r="T116" i="2"/>
  <c r="T36" i="2"/>
  <c r="R145" i="2"/>
  <c r="T25" i="2"/>
  <c r="R17" i="2"/>
  <c r="V17" i="2"/>
  <c r="T67" i="2"/>
  <c r="V77" i="2"/>
  <c r="R77" i="2"/>
  <c r="T147" i="2"/>
  <c r="T12" i="2"/>
  <c r="U12" i="2"/>
  <c r="T112" i="2"/>
  <c r="U112" i="2"/>
  <c r="T32" i="2"/>
  <c r="U32" i="2"/>
  <c r="Q122" i="2"/>
  <c r="Q12" i="2"/>
  <c r="T107" i="2"/>
  <c r="T37" i="2"/>
  <c r="Q142" i="2"/>
  <c r="Q92" i="2"/>
  <c r="Q32" i="2"/>
  <c r="V47" i="2"/>
  <c r="R47" i="2"/>
  <c r="T97" i="2"/>
  <c r="T42" i="2"/>
  <c r="U42" i="2"/>
  <c r="Q157" i="2"/>
  <c r="Q117" i="2"/>
  <c r="Q77" i="2"/>
  <c r="Q22" i="2"/>
  <c r="R167" i="2"/>
  <c r="U67" i="2"/>
  <c r="T142" i="2"/>
  <c r="U142" i="2"/>
  <c r="T82" i="2"/>
  <c r="U82" i="2"/>
  <c r="T17" i="2"/>
  <c r="Q167" i="2"/>
  <c r="Q137" i="2"/>
  <c r="Q107" i="2"/>
  <c r="Q62" i="2"/>
  <c r="Q7" i="2"/>
  <c r="R117" i="2"/>
  <c r="V97" i="2"/>
  <c r="R97" i="2"/>
  <c r="T127" i="2"/>
  <c r="T122" i="2"/>
  <c r="U122" i="2"/>
  <c r="T47" i="2"/>
  <c r="Q127" i="2"/>
  <c r="Q82" i="2"/>
  <c r="Q57" i="2"/>
  <c r="Q37" i="2"/>
  <c r="Q17" i="2"/>
  <c r="U127" i="2"/>
  <c r="T117" i="2"/>
  <c r="T152" i="2"/>
  <c r="U152" i="2"/>
  <c r="T7" i="2"/>
  <c r="R154" i="2"/>
  <c r="T154" i="2"/>
  <c r="V154" i="2"/>
  <c r="U17" i="2"/>
  <c r="V37" i="2"/>
  <c r="R37" i="2"/>
  <c r="T132" i="2"/>
  <c r="U132" i="2"/>
  <c r="T52" i="2"/>
  <c r="U52" i="2"/>
  <c r="Q152" i="2"/>
  <c r="Q97" i="2"/>
  <c r="Q47" i="2"/>
  <c r="U107" i="2"/>
  <c r="R144" i="2"/>
  <c r="T144" i="2"/>
  <c r="V144" i="2"/>
  <c r="T149" i="2"/>
  <c r="T167" i="2"/>
  <c r="V107" i="2"/>
  <c r="R107" i="2"/>
  <c r="T77" i="2"/>
  <c r="V27" i="2"/>
  <c r="R27" i="2"/>
  <c r="T137" i="2"/>
  <c r="T72" i="2"/>
  <c r="U72" i="2"/>
  <c r="T22" i="2"/>
  <c r="U22" i="2"/>
  <c r="Q162" i="2"/>
  <c r="Q132" i="2"/>
  <c r="Q102" i="2"/>
  <c r="Q72" i="2"/>
  <c r="Q42" i="2"/>
  <c r="R127" i="2"/>
  <c r="U77" i="2"/>
  <c r="R164" i="2"/>
  <c r="T164" i="2"/>
  <c r="V164" i="2"/>
  <c r="T169" i="2"/>
  <c r="T159" i="2"/>
  <c r="T139" i="2"/>
  <c r="R137" i="2"/>
  <c r="U147" i="2"/>
  <c r="R87" i="2"/>
  <c r="T157" i="2"/>
  <c r="T102" i="2"/>
  <c r="U102" i="2"/>
  <c r="T62" i="2"/>
  <c r="U62" i="2"/>
  <c r="Q147" i="2"/>
  <c r="Q112" i="2"/>
  <c r="Q87" i="2"/>
  <c r="Q67" i="2"/>
  <c r="Q52" i="2"/>
  <c r="Q27" i="2"/>
  <c r="R157" i="2"/>
  <c r="T168" i="2"/>
  <c r="U168" i="2"/>
  <c r="U163" i="2"/>
  <c r="T163" i="2"/>
  <c r="T158" i="2"/>
  <c r="U158" i="2"/>
  <c r="U153" i="2"/>
  <c r="T153" i="2"/>
  <c r="T148" i="2"/>
  <c r="U148" i="2"/>
  <c r="U143" i="2"/>
  <c r="T143" i="2"/>
  <c r="T138" i="2"/>
  <c r="U138" i="2"/>
  <c r="U133" i="2"/>
  <c r="T133" i="2"/>
  <c r="T128" i="2"/>
  <c r="U128" i="2"/>
  <c r="U123" i="2"/>
  <c r="T123" i="2"/>
  <c r="T118" i="2"/>
  <c r="U118" i="2"/>
  <c r="T113" i="2"/>
  <c r="U113" i="2"/>
  <c r="T108" i="2"/>
  <c r="U108" i="2"/>
  <c r="U103" i="2"/>
  <c r="T103" i="2"/>
  <c r="T98" i="2"/>
  <c r="U98" i="2"/>
  <c r="U93" i="2"/>
  <c r="T93" i="2"/>
  <c r="T88" i="2"/>
  <c r="U88" i="2"/>
  <c r="U83" i="2"/>
  <c r="T83" i="2"/>
  <c r="T78" i="2"/>
  <c r="U78" i="2"/>
  <c r="U73" i="2"/>
  <c r="T73" i="2"/>
  <c r="T68" i="2"/>
  <c r="U68" i="2"/>
  <c r="U63" i="2"/>
  <c r="T63" i="2"/>
  <c r="T58" i="2"/>
  <c r="U58" i="2"/>
  <c r="U53" i="2"/>
  <c r="T53" i="2"/>
  <c r="T48" i="2"/>
  <c r="U48" i="2"/>
  <c r="U43" i="2"/>
  <c r="T43" i="2"/>
  <c r="T38" i="2"/>
  <c r="U38" i="2"/>
  <c r="U33" i="2"/>
  <c r="T33" i="2"/>
  <c r="T28" i="2"/>
  <c r="U28" i="2"/>
  <c r="U23" i="2"/>
  <c r="T23" i="2"/>
  <c r="U37" i="2"/>
  <c r="V67" i="2"/>
  <c r="R67" i="2"/>
  <c r="V7" i="2"/>
  <c r="R7" i="2"/>
  <c r="T92" i="2"/>
  <c r="U92" i="2"/>
  <c r="T27" i="2"/>
  <c r="Q168" i="2"/>
  <c r="R168" i="2"/>
  <c r="S168" i="2"/>
  <c r="Q158" i="2"/>
  <c r="R158" i="2"/>
  <c r="S158" i="2"/>
  <c r="Q148" i="2"/>
  <c r="R148" i="2"/>
  <c r="S148" i="2"/>
  <c r="Q138" i="2"/>
  <c r="R138" i="2"/>
  <c r="S138" i="2"/>
  <c r="Q128" i="2"/>
  <c r="R128" i="2"/>
  <c r="S128" i="2"/>
  <c r="Q118" i="2"/>
  <c r="R118" i="2"/>
  <c r="S118" i="2"/>
  <c r="Q108" i="2"/>
  <c r="R108" i="2"/>
  <c r="S108" i="2"/>
  <c r="Q98" i="2"/>
  <c r="R98" i="2"/>
  <c r="S98" i="2"/>
  <c r="Q88" i="2"/>
  <c r="R88" i="2"/>
  <c r="S88" i="2"/>
  <c r="Q78" i="2"/>
  <c r="R78" i="2"/>
  <c r="S78" i="2"/>
  <c r="Q68" i="2"/>
  <c r="R68" i="2"/>
  <c r="S68" i="2"/>
  <c r="Q58" i="2"/>
  <c r="R58" i="2"/>
  <c r="S58" i="2"/>
  <c r="Q48" i="2"/>
  <c r="R48" i="2"/>
  <c r="S48" i="2"/>
  <c r="Q8" i="2"/>
  <c r="R8" i="2"/>
  <c r="S8" i="2"/>
  <c r="V57" i="2"/>
  <c r="R57" i="2"/>
  <c r="T162" i="2"/>
  <c r="U162" i="2"/>
  <c r="T87" i="2"/>
  <c r="T57" i="2"/>
  <c r="S163" i="2"/>
  <c r="Q163" i="2"/>
  <c r="R163" i="2"/>
  <c r="Q153" i="2"/>
  <c r="R153" i="2"/>
  <c r="S153" i="2"/>
  <c r="S143" i="2"/>
  <c r="Q143" i="2"/>
  <c r="R143" i="2"/>
  <c r="S133" i="2"/>
  <c r="Q133" i="2"/>
  <c r="R133" i="2"/>
  <c r="S123" i="2"/>
  <c r="Q123" i="2"/>
  <c r="R123" i="2"/>
  <c r="S113" i="2"/>
  <c r="Q113" i="2"/>
  <c r="R113" i="2"/>
  <c r="S103" i="2"/>
  <c r="Q103" i="2"/>
  <c r="R103" i="2"/>
  <c r="S93" i="2"/>
  <c r="Q93" i="2"/>
  <c r="R93" i="2"/>
  <c r="S83" i="2"/>
  <c r="Q83" i="2"/>
  <c r="R83" i="2"/>
  <c r="S73" i="2"/>
  <c r="Q73" i="2"/>
  <c r="R73" i="2"/>
  <c r="S63" i="2"/>
  <c r="Q63" i="2"/>
  <c r="R63" i="2"/>
  <c r="S53" i="2"/>
  <c r="Q53" i="2"/>
  <c r="R53" i="2"/>
  <c r="S43" i="2"/>
  <c r="Q43" i="2"/>
  <c r="R43" i="2"/>
  <c r="Q38" i="2"/>
  <c r="R38" i="2"/>
  <c r="S38" i="2"/>
  <c r="S33" i="2"/>
  <c r="Q33" i="2"/>
  <c r="R33" i="2"/>
  <c r="Q28" i="2"/>
  <c r="R28" i="2"/>
  <c r="S28" i="2"/>
  <c r="S23" i="2"/>
  <c r="Q23" i="2"/>
  <c r="R23" i="2"/>
  <c r="Q18" i="2"/>
  <c r="R18" i="2"/>
  <c r="S18" i="2"/>
  <c r="Q13" i="2"/>
  <c r="S13" i="2"/>
  <c r="R13" i="2"/>
  <c r="R173" i="2"/>
  <c r="S3" i="2"/>
  <c r="Q3" i="2"/>
  <c r="R3" i="2"/>
  <c r="S173" i="2"/>
  <c r="R147" i="2"/>
  <c r="U97" i="2"/>
  <c r="V166" i="2"/>
  <c r="V116" i="2"/>
  <c r="V106" i="2"/>
  <c r="V86" i="2"/>
  <c r="V66" i="2"/>
  <c r="V56" i="2"/>
  <c r="V46" i="2"/>
  <c r="V36" i="2"/>
  <c r="V26" i="2"/>
  <c r="T3" i="2"/>
  <c r="V156" i="2"/>
  <c r="V76" i="2"/>
  <c r="U146" i="2"/>
  <c r="U169" i="2"/>
  <c r="S166" i="2"/>
  <c r="U159" i="2"/>
  <c r="S156" i="2"/>
  <c r="U149" i="2"/>
  <c r="S146" i="2"/>
  <c r="U139" i="2"/>
  <c r="S136" i="2"/>
  <c r="U129" i="2"/>
  <c r="S126" i="2"/>
  <c r="U119" i="2"/>
  <c r="S116" i="2"/>
  <c r="U109" i="2"/>
  <c r="S106" i="2"/>
  <c r="U99" i="2"/>
  <c r="S96" i="2"/>
  <c r="U89" i="2"/>
  <c r="S86" i="2"/>
  <c r="U79" i="2"/>
  <c r="S76" i="2"/>
  <c r="U69" i="2"/>
  <c r="S66" i="2"/>
  <c r="U59" i="2"/>
  <c r="S56" i="2"/>
  <c r="U49" i="2"/>
  <c r="S46" i="2"/>
  <c r="U39" i="2"/>
  <c r="S36" i="2"/>
  <c r="U29" i="2"/>
  <c r="S26" i="2"/>
  <c r="U19" i="2"/>
  <c r="S16" i="2"/>
  <c r="U9" i="2"/>
  <c r="S6" i="2"/>
  <c r="T13" i="2"/>
  <c r="R166" i="2"/>
  <c r="R156" i="2"/>
  <c r="R146" i="2"/>
  <c r="R136" i="2"/>
  <c r="R126" i="2"/>
  <c r="R116" i="2"/>
  <c r="R106" i="2"/>
  <c r="R96" i="2"/>
  <c r="R86" i="2"/>
  <c r="R76" i="2"/>
  <c r="R66" i="2"/>
  <c r="R56" i="2"/>
  <c r="R46" i="2"/>
  <c r="R36" i="2"/>
  <c r="R26" i="2"/>
  <c r="R16" i="2"/>
  <c r="R6" i="2"/>
  <c r="U173" i="2"/>
  <c r="U136" i="2"/>
  <c r="U126" i="2"/>
  <c r="U96" i="2"/>
  <c r="U16" i="2"/>
  <c r="S169" i="2"/>
  <c r="S159" i="2"/>
  <c r="S149" i="2"/>
  <c r="S139" i="2"/>
  <c r="S129" i="2"/>
  <c r="S119" i="2"/>
  <c r="S109" i="2"/>
  <c r="S99" i="2"/>
  <c r="S89" i="2"/>
  <c r="S79" i="2"/>
  <c r="S69" i="2"/>
  <c r="S59" i="2"/>
  <c r="S49" i="2"/>
  <c r="S39" i="2"/>
  <c r="S29" i="2"/>
  <c r="S19" i="2"/>
  <c r="S9" i="2"/>
  <c r="U6" i="2"/>
  <c r="R169" i="2"/>
  <c r="R159" i="2"/>
  <c r="R149" i="2"/>
  <c r="R139" i="2"/>
  <c r="R129" i="2"/>
  <c r="R119" i="2"/>
  <c r="R109" i="2"/>
  <c r="R99" i="2"/>
  <c r="R89" i="2"/>
  <c r="R79" i="2"/>
  <c r="R69" i="2"/>
  <c r="R59" i="2"/>
  <c r="R49" i="2"/>
  <c r="R39" i="2"/>
  <c r="R29" i="2"/>
  <c r="R19" i="2"/>
  <c r="R9" i="2"/>
  <c r="S162" i="2"/>
  <c r="S152" i="2"/>
  <c r="S142" i="2"/>
  <c r="S132" i="2"/>
  <c r="S122" i="2"/>
  <c r="S112" i="2"/>
  <c r="S102" i="2"/>
  <c r="S92" i="2"/>
  <c r="S82" i="2"/>
  <c r="S72" i="2"/>
  <c r="S62" i="2"/>
  <c r="S52" i="2"/>
  <c r="S42" i="2"/>
  <c r="S32" i="2"/>
  <c r="S22" i="2"/>
  <c r="S12" i="2"/>
  <c r="R162" i="2"/>
  <c r="R152" i="2"/>
  <c r="R142" i="2"/>
  <c r="R132" i="2"/>
  <c r="R122" i="2"/>
  <c r="R112" i="2"/>
  <c r="R102" i="2"/>
  <c r="R92" i="2"/>
  <c r="R82" i="2"/>
  <c r="R72" i="2"/>
  <c r="R62" i="2"/>
  <c r="R52" i="2"/>
  <c r="R42" i="2"/>
  <c r="R32" i="2"/>
  <c r="R22" i="2"/>
  <c r="R12" i="2"/>
  <c r="U18" i="2"/>
  <c r="U8" i="2"/>
  <c r="V161" i="2"/>
  <c r="V151" i="2"/>
  <c r="V141" i="2"/>
  <c r="V131" i="2"/>
  <c r="V121" i="2"/>
  <c r="V111" i="2"/>
  <c r="V101" i="2"/>
  <c r="V91" i="2"/>
  <c r="V81" i="2"/>
  <c r="V71" i="2"/>
  <c r="V61" i="2"/>
  <c r="V51" i="2"/>
  <c r="V41" i="2"/>
  <c r="V31" i="2"/>
  <c r="V21" i="2"/>
  <c r="V11" i="2"/>
  <c r="U161" i="2"/>
  <c r="U151" i="2"/>
  <c r="U141" i="2"/>
  <c r="U131" i="2"/>
  <c r="U121" i="2"/>
  <c r="U111" i="2"/>
  <c r="U101" i="2"/>
  <c r="U91" i="2"/>
  <c r="U81" i="2"/>
  <c r="U71" i="2"/>
  <c r="U61" i="2"/>
  <c r="U51" i="2"/>
  <c r="U41" i="2"/>
  <c r="U31" i="2"/>
  <c r="U21" i="2"/>
  <c r="U11" i="2"/>
  <c r="V134" i="2"/>
  <c r="V124" i="2"/>
  <c r="V114" i="2"/>
  <c r="V104" i="2"/>
  <c r="V94" i="2"/>
  <c r="V84" i="2"/>
  <c r="V74" i="2"/>
  <c r="V64" i="2"/>
  <c r="V54" i="2"/>
  <c r="V44" i="2"/>
  <c r="V34" i="2"/>
  <c r="V24" i="2"/>
  <c r="V14" i="2"/>
  <c r="V4" i="2"/>
  <c r="T134" i="2"/>
  <c r="T124" i="2"/>
  <c r="T114" i="2"/>
  <c r="T104" i="2"/>
  <c r="T94" i="2"/>
  <c r="T84" i="2"/>
  <c r="T74" i="2"/>
  <c r="T64" i="2"/>
  <c r="U3" i="2"/>
  <c r="T2" i="2"/>
  <c r="S2" i="2"/>
  <c r="V2" i="2"/>
  <c r="R2" i="2"/>
  <c r="Q2" i="2"/>
  <c r="U2" i="2"/>
  <c r="R3" i="14"/>
  <c r="S6" i="13"/>
  <c r="T5" i="13"/>
  <c r="R5" i="13"/>
  <c r="R3" i="13"/>
  <c r="R4" i="13"/>
  <c r="S5" i="13"/>
  <c r="R6" i="13"/>
  <c r="R23" i="12"/>
  <c r="N24" i="12" s="1"/>
  <c r="S23" i="12"/>
  <c r="T23" i="12"/>
  <c r="X39" i="7"/>
  <c r="J94" i="7"/>
  <c r="J93" i="7"/>
  <c r="T171" i="2" l="1"/>
  <c r="Q171" i="2"/>
  <c r="S171" i="2"/>
  <c r="U171" i="2"/>
  <c r="R171" i="2"/>
  <c r="R172" i="2"/>
  <c r="U172" i="2"/>
  <c r="S172" i="2"/>
  <c r="T172" i="2"/>
  <c r="Q172" i="2"/>
  <c r="V171" i="2"/>
  <c r="V172" i="2" s="1"/>
  <c r="S48" i="14"/>
  <c r="T48" i="14"/>
  <c r="R48" i="14"/>
  <c r="S4" i="13"/>
  <c r="T3" i="13"/>
  <c r="T4" i="13"/>
  <c r="S3" i="13"/>
  <c r="R7" i="13"/>
  <c r="T7" i="13" l="1"/>
  <c r="S7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Jesús Cardenal</author>
  </authors>
  <commentList>
    <comment ref="L4" authorId="0" shapeId="0" xr:uid="{A75B1884-43BB-49B3-A599-9740CCEA166B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De la Web de la marca MG3 Hybrid+
</t>
        </r>
      </text>
    </comment>
    <comment ref="L22" authorId="0" shapeId="0" xr:uid="{834E8381-1A29-487C-9FDD-BB1706BAFDCD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Active Plus de serie
</t>
        </r>
      </text>
    </comment>
    <comment ref="L40" authorId="0" shapeId="0" xr:uid="{E1EDC3D1-29AD-4E99-802F-2EBACD1D74A5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Civic Hybrid Elegance</t>
        </r>
      </text>
    </comment>
    <comment ref="L46" authorId="0" shapeId="0" xr:uid="{27E67A90-6933-4BA2-8CA9-1142A037DE02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Style Plus</t>
        </r>
      </text>
    </comment>
    <comment ref="L74" authorId="0" shapeId="0" xr:uid="{52BB29A7-A3C6-42D7-A2D3-9AAB9F36E6E3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No se comercializa en España. Precio en dólares para equiparar
</t>
        </r>
      </text>
    </comment>
    <comment ref="L91" authorId="0" shapeId="0" xr:uid="{3D3C61D5-54A3-4B75-9377-C80B09CCB875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"Desde" en la web</t>
        </r>
      </text>
    </comment>
    <comment ref="L136" authorId="0" shapeId="0" xr:uid="{45B73721-C6D9-4FEB-8270-3E9FFBEC3CC8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Prime-line</t>
        </r>
      </text>
    </comment>
    <comment ref="L144" authorId="0" shapeId="0" xr:uid="{F198B77E-1593-4B51-9390-2D93D7AF4BD6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Jazz Hybrid Advance</t>
        </r>
      </text>
    </comment>
    <comment ref="L147" authorId="0" shapeId="0" xr:uid="{19B56595-4647-4754-A884-AB9AC8856C64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E-Tech full hybrid 145 (103Kw)</t>
        </r>
      </text>
    </comment>
    <comment ref="L149" authorId="0" shapeId="0" xr:uid="{6924C9AD-6B65-4D05-B823-194F73B0AB79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COLT 160 HEV Kaiteki</t>
        </r>
      </text>
    </comment>
    <comment ref="L207" authorId="0" shapeId="0" xr:uid="{3E866B99-AEF4-4E15-B343-50630D4653B6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"Desde"
</t>
        </r>
      </text>
    </comment>
    <comment ref="L244" authorId="0" shapeId="0" xr:uid="{804CDAAF-DD50-4C38-8AF5-BAA97C2FAB88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Desde IVA incl.</t>
        </r>
      </text>
    </comment>
    <comment ref="L255" authorId="0" shapeId="0" xr:uid="{B0DFBBA2-B637-4D7B-99CD-AA0871889FE1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Jazz Crosstar Hybrid</t>
        </r>
      </text>
    </comment>
    <comment ref="L264" authorId="0" shapeId="0" xr:uid="{A167B7A1-3AA9-4BE8-A1ED-1C9C57D2E5AF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Active Plus
</t>
        </r>
      </text>
    </comment>
    <comment ref="L267" authorId="0" shapeId="0" xr:uid="{D3D3411D-3882-41EA-B7D0-2BDAF6041E3A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Vitara 1.5L AGS Strong Hybrid S2</t>
        </r>
      </text>
    </comment>
    <comment ref="L270" authorId="0" shapeId="0" xr:uid="{A8F3263C-E2D2-4C2E-B004-19D3AF6CFF8E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"Desde"</t>
        </r>
      </text>
    </comment>
    <comment ref="L274" authorId="0" shapeId="0" xr:uid="{E4A18C14-D0DC-45B0-BEA7-8722112875E6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Juke Acenta 1.6 Hybrid 143CV (105kW) E6D-F
Precio financiado (no se encuentra el PVP)</t>
        </r>
      </text>
    </comment>
    <comment ref="L278" authorId="0" shapeId="0" xr:uid="{772F5797-43E9-425F-B677-B7C332859335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160 HEV Kaiteki</t>
        </r>
      </text>
    </comment>
    <comment ref="L285" authorId="0" shapeId="0" xr:uid="{DAAD1282-8C66-485C-B013-272789242A8D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CAPTUR evolution E-Tech full hybrid 105 kW (145CV)</t>
        </r>
      </text>
    </comment>
    <comment ref="L293" authorId="0" shapeId="0" xr:uid="{EDE65F24-142F-41AB-9102-6C6F8D58B026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1.5L AGS STRONG HYBRID S2</t>
        </r>
      </text>
    </comment>
    <comment ref="L297" authorId="0" shapeId="0" xr:uid="{B4852393-7F2A-4135-A280-706E8B918D0A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Elegance 1.5 I-MMD eCVT Full Hybrid</t>
        </r>
      </text>
    </comment>
    <comment ref="L299" authorId="0" shapeId="0" xr:uid="{1D710C1F-2123-476D-BF71-31596C7CBAAE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Expression HYBRID 105kw (140CV) 4x2</t>
        </r>
      </text>
    </comment>
    <comment ref="L300" authorId="0" shapeId="0" xr:uid="{7523F9B5-089B-4342-9CF2-F826E9CCD033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CH-R Active Hybrid 140 4x2</t>
        </r>
      </text>
    </comment>
    <comment ref="L321" authorId="0" shapeId="0" xr:uid="{E82F935D-EE9A-4EFC-9F68-B60066984EF7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SYMBIOZ evolution E-Tech full hybrid 105 kW (145 CV)</t>
        </r>
      </text>
    </comment>
    <comment ref="L325" authorId="0" shapeId="0" xr:uid="{19D673B7-2C18-429E-827E-9C601283557B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Qashqai Acenta e-POWER 190CV (140kW)
Precio financiado (no hay PVP)</t>
        </r>
      </text>
    </comment>
    <comment ref="L339" authorId="0" shapeId="0" xr:uid="{FDF1D9B0-F0B2-4F48-B9D5-4E4D0DAB4B72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UX+</t>
        </r>
      </text>
    </comment>
    <comment ref="L347" authorId="0" shapeId="0" xr:uid="{90F73446-7E33-40BF-A9EC-727B11769386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1.6 T-GDi HEV 215CV 6AT 4x2 Automático (sin descuento de financiación)</t>
        </r>
      </text>
    </comment>
    <comment ref="L352" authorId="0" shapeId="0" xr:uid="{A12E0862-496E-41FE-A2E0-5B612EFCF117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AUSTRAL evolution E-Tech full hybrid 200 (146kW) -SS</t>
        </r>
      </text>
    </comment>
    <comment ref="L355" authorId="0" shapeId="0" xr:uid="{7C499D7B-9311-42AC-A948-5E80C7FFE811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Drive 1.6 HEV -171kW (210CV) 6AT 4x2 (Gasolina, AT). Precio financiado (no se puede consultar el PVP)</t>
        </r>
      </text>
    </comment>
    <comment ref="L364" authorId="0" shapeId="0" xr:uid="{2B4FDCBF-8E8D-4196-9953-20DC13CA4679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Expression HYBRID 105kW (140CV) 5 plazas</t>
        </r>
      </text>
    </comment>
    <comment ref="L367" authorId="0" shapeId="0" xr:uid="{1B9318D6-4674-4641-9F32-41ADF92C2E83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Evolution E-Tech full hybrid 105 kW (145CV)</t>
        </r>
      </text>
    </comment>
    <comment ref="L368" authorId="0" shapeId="0" xr:uid="{A4CF0B51-83F8-41F3-8A27-5D95C8837939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Elegance 2.0 I-MMD eCVT Full Hybrid 4x2</t>
        </r>
      </text>
    </comment>
    <comment ref="L369" authorId="0" shapeId="0" xr:uid="{1E66FFC0-2E78-4656-9ED5-1675B7A5B0FD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Bigster Expression HYBRID 115kw (155CV) 4x2</t>
        </r>
      </text>
    </comment>
    <comment ref="L377" authorId="0" shapeId="0" xr:uid="{F57C978A-4AE6-4A4F-945F-384671183FD1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RAV4 Advance Hybrid 5P</t>
        </r>
      </text>
    </comment>
    <comment ref="L388" authorId="0" shapeId="0" xr:uid="{348673AC-EA0C-4AE0-A487-95C3F98724BB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Premium+</t>
        </r>
      </text>
    </comment>
    <comment ref="L390" authorId="0" shapeId="0" xr:uid="{16A8DC2E-BB87-4127-B2A7-030B0102D729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Active (parece que es HEV pero podría ser mHEV)
</t>
        </r>
      </text>
    </comment>
    <comment ref="L392" authorId="0" shapeId="0" xr:uid="{8B8EE61C-EA63-4ED2-A60B-C74D035DA433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Acenta e-POWER Yuki White
Financiado (no existe PVP)
</t>
        </r>
      </text>
    </comment>
    <comment ref="L399" authorId="0" shapeId="0" xr:uid="{9E3ADC02-8AC5-440E-B345-5AA6A015FE85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Elegance 2.0 I-MMD eCVT Full Hybrid 4x2</t>
        </r>
      </text>
    </comment>
    <comment ref="L403" authorId="0" shapeId="0" xr:uid="{359E0E41-F5DB-47B5-8A83-CCE34E6D1FAC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Techno E-Tech full hybrid 200 cv</t>
        </r>
      </text>
    </comment>
    <comment ref="L408" authorId="0" shapeId="0" xr:uid="{3DE49D53-5135-4FFE-B95B-E61CE9919449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Techno full hybrid E-Tech 200</t>
        </r>
      </text>
    </comment>
    <comment ref="L440" authorId="0" shapeId="0" xr:uid="{4E49C25F-F23C-45F6-BFC8-2CB550254022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1.6 TGDI HEV 215CV 6AT 4x4</t>
        </r>
      </text>
    </comment>
    <comment ref="L447" authorId="0" shapeId="0" xr:uid="{5BF0D4F9-0D4B-4D66-BA20-9199392B57D7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Solo hay un híbrido no enchufable. El F Sport y es el más caro de la serie. Todos los demás son híbridos enchufables.</t>
        </r>
      </text>
    </comment>
    <comment ref="L457" authorId="0" shapeId="0" xr:uid="{4725548C-AFC0-4A45-A859-BDC6A98EC163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Highlander Advance Hybrid 5P</t>
        </r>
      </text>
    </comment>
    <comment ref="L519" authorId="0" shapeId="0" xr:uid="{3D540C8C-D059-4128-89B8-610B03286C40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1.6 GDi HEV 96 kW (129 cv) (Gasolina, DCT). Precio financiado
</t>
        </r>
      </text>
    </comment>
    <comment ref="L520" authorId="0" shapeId="0" xr:uid="{5D10F79B-EDC1-4BD1-809B-ED4C2BC38A50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Financiado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Jesús Cardenal</author>
  </authors>
  <commentList>
    <comment ref="F1" authorId="0" shapeId="0" xr:uid="{BB4649DE-2A15-445E-91A0-FE5C3384A771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De la Web de la marca MG3 Hybrid+
</t>
        </r>
      </text>
    </comment>
    <comment ref="F2" authorId="0" shapeId="0" xr:uid="{F742ABEF-DF44-4F3F-A57D-CE8B7CFCF427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Active Plus de serie
</t>
        </r>
      </text>
    </comment>
    <comment ref="F3" authorId="0" shapeId="0" xr:uid="{73AF0FE0-F3D4-4977-9909-7C45B0A8CB4F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Civic Hybrid Elegance</t>
        </r>
      </text>
    </comment>
    <comment ref="F4" authorId="0" shapeId="0" xr:uid="{BA2C7947-5254-43FC-93DB-6048ECAA488C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Style Plus</t>
        </r>
      </text>
    </comment>
    <comment ref="F5" authorId="0" shapeId="0" xr:uid="{CBE5A114-FCD4-4F6C-8F49-B01998862D0A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No se comercializa en España. Precio en dólares para equiparar
</t>
        </r>
      </text>
    </comment>
    <comment ref="F6" authorId="0" shapeId="0" xr:uid="{BB3EF568-1C33-4589-99CF-73A87E80256F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"Desde" en la web</t>
        </r>
      </text>
    </comment>
    <comment ref="F9" authorId="0" shapeId="0" xr:uid="{203692F0-C91E-4036-8C25-82C9ED0781B4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Prime-line</t>
        </r>
      </text>
    </comment>
    <comment ref="F10" authorId="0" shapeId="0" xr:uid="{55363EC5-F10A-4D3E-B6DC-BBB66A6ED19F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Jazz Hybrid Advance</t>
        </r>
      </text>
    </comment>
    <comment ref="F11" authorId="0" shapeId="0" xr:uid="{D28E7AC1-CE2B-45AD-9E29-C6BEB89D3B84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E-Tech full hybrid 145 (103Kw)</t>
        </r>
      </text>
    </comment>
    <comment ref="F12" authorId="0" shapeId="0" xr:uid="{FE17B727-4011-44E0-A0AB-06DF5A0D23A3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COLT 160 HEV Kaiteki</t>
        </r>
      </text>
    </comment>
    <comment ref="F14" authorId="0" shapeId="0" xr:uid="{3D5F265B-81B2-434E-A87B-09C01984E88D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"Desde"
</t>
        </r>
      </text>
    </comment>
    <comment ref="F15" authorId="0" shapeId="0" xr:uid="{E208F8E1-DB3E-4D95-83C7-9947FE2A9B3B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Desde IVA incl.</t>
        </r>
      </text>
    </comment>
    <comment ref="F16" authorId="0" shapeId="0" xr:uid="{0E2ACF5F-33A7-46A5-AFAD-AF49D752018A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Jazz Crosstar Hybrid</t>
        </r>
      </text>
    </comment>
    <comment ref="F17" authorId="0" shapeId="0" xr:uid="{01D45B6D-E921-4FDE-81D7-D002790EF2E7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Active Plus
</t>
        </r>
      </text>
    </comment>
    <comment ref="F18" authorId="0" shapeId="0" xr:uid="{492EC6D8-78ED-4355-BD26-24E586FC216C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Vitara 1.5L AGS Strong Hybrid S2</t>
        </r>
      </text>
    </comment>
    <comment ref="F19" authorId="0" shapeId="0" xr:uid="{CA4989D3-6DAD-434C-9287-F234D3009FF2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"Desde"</t>
        </r>
      </text>
    </comment>
    <comment ref="F20" authorId="0" shapeId="0" xr:uid="{B83195EF-CFF4-4CFD-A2A6-0AD4FD6DA2C3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Juke Acenta 1.6 Hybrid 143CV (105kW) E6D-F
Precio financiado (no se encuentra el PVP)</t>
        </r>
      </text>
    </comment>
    <comment ref="F21" authorId="0" shapeId="0" xr:uid="{F1E3BE96-9F4B-468F-B8B9-08AD035229C9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160 HEV Kaiteki</t>
        </r>
      </text>
    </comment>
    <comment ref="F22" authorId="0" shapeId="0" xr:uid="{CE517468-7572-4EB8-8214-782EB7509E95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CAPTUR evolution E-Tech full hybrid 105 kW (145CV)</t>
        </r>
      </text>
    </comment>
    <comment ref="F23" authorId="0" shapeId="0" xr:uid="{78BBB098-4E5A-4C49-BCBF-F4D4C63D5668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1.5L AGS STRONG HYBRID S2</t>
        </r>
      </text>
    </comment>
    <comment ref="F24" authorId="0" shapeId="0" xr:uid="{1F69E48D-1858-4627-A14F-DF6F80F0A38C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Elegance 1.5 I-MMD eCVT Full Hybrid</t>
        </r>
      </text>
    </comment>
    <comment ref="F25" authorId="0" shapeId="0" xr:uid="{00D94115-E35B-422D-9B06-FC9457D6F5F5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Expression HYBRID 105kw (140CV) 4x2</t>
        </r>
      </text>
    </comment>
    <comment ref="F26" authorId="0" shapeId="0" xr:uid="{EA6FC62B-AA2B-4116-81A7-112B56FE0C14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CH-R Active Hybrid 140 4x2</t>
        </r>
      </text>
    </comment>
    <comment ref="F27" authorId="0" shapeId="0" xr:uid="{8EBC5E60-4BD4-4815-B1A4-E20CADA9BFA5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SYMBIOZ evolution E-Tech full hybrid 105 kW (145 CV)</t>
        </r>
      </text>
    </comment>
    <comment ref="F28" authorId="0" shapeId="0" xr:uid="{8CF6619A-A989-49EC-9639-A267C9A9C1DB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Qashqai Acenta e-POWER 190CV (140kW)
Precio financiado (no hay PVP)</t>
        </r>
      </text>
    </comment>
    <comment ref="F30" authorId="0" shapeId="0" xr:uid="{94D99BE0-7547-40AF-BA1B-C080C8F0C071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UX+</t>
        </r>
      </text>
    </comment>
    <comment ref="F31" authorId="0" shapeId="0" xr:uid="{2DE5C924-B621-4632-86C1-7BC045330A47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1.6 T-GDi HEV 215CV 6AT 4x2 Automático (sin descuento de financiación)</t>
        </r>
      </text>
    </comment>
    <comment ref="F33" authorId="0" shapeId="0" xr:uid="{E7EFD7A6-5E4C-47C5-81D6-3BDFF47FF933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AUSTRAL evolution E-Tech full hybrid 200 (146kW) -SS</t>
        </r>
      </text>
    </comment>
    <comment ref="F34" authorId="0" shapeId="0" xr:uid="{3C49D2DE-64A5-498B-BC6F-1D8597EE8865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Drive 1.6 HEV -171kW (210CV) 6AT 4x2 (Gasolina, AT). Precio financiado (no se puede consultar el PVP)</t>
        </r>
      </text>
    </comment>
    <comment ref="F35" authorId="0" shapeId="0" xr:uid="{F5385854-DC95-49E5-928C-2F84AC6F5B2E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Expression HYBRID 105kW (140CV) 5 plazas</t>
        </r>
      </text>
    </comment>
    <comment ref="F36" authorId="0" shapeId="0" xr:uid="{80FC6A38-4E86-4A6D-9DC9-3A3081E214AF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Evolution E-Tech full hybrid 105 kW (145CV)</t>
        </r>
      </text>
    </comment>
    <comment ref="F37" authorId="0" shapeId="0" xr:uid="{BE241027-F651-4739-8222-A4B990BE9E0E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Elegance 2.0 I-MMD eCVT Full Hybrid 4x2</t>
        </r>
      </text>
    </comment>
    <comment ref="F38" authorId="0" shapeId="0" xr:uid="{DD120AEC-0B19-448E-91D1-CA6FADD1E8E6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Bigster Expression HYBRID 115kw (155CV) 4x2</t>
        </r>
      </text>
    </comment>
    <comment ref="F39" authorId="0" shapeId="0" xr:uid="{E56F6CAF-BBDA-4F09-8766-52BF246F3869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RAV4 Advance Hybrid 5P</t>
        </r>
      </text>
    </comment>
    <comment ref="F40" authorId="0" shapeId="0" xr:uid="{2DCB9BE6-35DA-4AEC-A227-6CE69F10850F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Premium+</t>
        </r>
      </text>
    </comment>
    <comment ref="F41" authorId="0" shapeId="0" xr:uid="{1669739C-541F-402C-9105-04B1BD0B9647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Active (parece que es HEV pero podría ser mHEV)
</t>
        </r>
      </text>
    </comment>
    <comment ref="F42" authorId="0" shapeId="0" xr:uid="{EBA72308-97F9-4E16-8860-6EAD99526EA3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Acenta e-POWER Yuki White
Financiado (no existe PVP)
</t>
        </r>
      </text>
    </comment>
    <comment ref="F43" authorId="0" shapeId="0" xr:uid="{298D8850-DCCA-4D4A-9B8B-C4BF8278EF16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Elegance 2.0 I-MMD eCVT Full Hybrid 4x2</t>
        </r>
      </text>
    </comment>
    <comment ref="F44" authorId="0" shapeId="0" xr:uid="{4111FE3C-AACD-40BE-A622-8A61C13E433E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Techno E-Tech full hybrid 200 cv</t>
        </r>
      </text>
    </comment>
    <comment ref="F45" authorId="0" shapeId="0" xr:uid="{72E7342C-244B-4319-8766-FD6457D2B34A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Techno full hybrid E-Tech 200</t>
        </r>
      </text>
    </comment>
    <comment ref="F46" authorId="0" shapeId="0" xr:uid="{7C5FC3B4-B3AB-4EE3-A5C6-2ED67DE5B1F7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1.6 TGDI HEV 215CV 6AT 4x4</t>
        </r>
      </text>
    </comment>
    <comment ref="F47" authorId="0" shapeId="0" xr:uid="{88BF3363-1EFE-42E6-8257-BCD2439472DC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Solo hay un híbrido no enchufable. El F Sport y es el más caro de la serie. Todos los demás son híbridos enchufables.</t>
        </r>
      </text>
    </comment>
    <comment ref="F48" authorId="0" shapeId="0" xr:uid="{5DA25FC3-62C4-4C7A-957D-D37EEEFA3F43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Highlander Advance Hybrid 5P</t>
        </r>
      </text>
    </comment>
    <comment ref="F49" authorId="0" shapeId="0" xr:uid="{66823ED1-5102-4CB2-861A-24E18C85A31D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1.6 GDi HEV 96 kW (129 cv) (Gasolina, DCT). Precio financiado
</t>
        </r>
      </text>
    </comment>
    <comment ref="F50" authorId="0" shapeId="0" xr:uid="{215D3F1A-4409-4B42-A900-1E1BADF35DA1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Financiado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Jesús Cardenal</author>
  </authors>
  <commentList>
    <comment ref="L3" authorId="0" shapeId="0" xr:uid="{90D99409-71AB-400B-849A-25B81434D6F5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De la Web de la marca MG3 Hybrid+
</t>
        </r>
      </text>
    </comment>
    <comment ref="L4" authorId="0" shapeId="0" xr:uid="{70371D0F-65EB-4DCF-8B23-E46A4283D876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Active Plus Hybrid 140</t>
        </r>
      </text>
    </comment>
    <comment ref="L5" authorId="0" shapeId="0" xr:uid="{2127C3C8-B1E5-4697-883A-5BFCDD55C0C0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Civic Hybrid Elegance</t>
        </r>
      </text>
    </comment>
    <comment ref="L6" authorId="0" shapeId="0" xr:uid="{BFA9799F-4E9D-4D65-B22B-6770C7418094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Style 140 e-CVT</t>
        </r>
      </text>
    </comment>
    <comment ref="L7" authorId="0" shapeId="0" xr:uid="{E3E3CB48-AFE4-47DF-8014-F824975C0C1B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"Desde" en la web</t>
        </r>
      </text>
    </comment>
    <comment ref="L10" authorId="0" shapeId="0" xr:uid="{B04B5A33-76A7-44F8-BE66-95B71FDE5049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Prime-line</t>
        </r>
      </text>
    </comment>
    <comment ref="L11" authorId="0" shapeId="0" xr:uid="{5BC6373F-6387-4CC0-A789-5C446266C401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Jazz Hybrid Advance</t>
        </r>
      </text>
    </comment>
    <comment ref="L12" authorId="0" shapeId="0" xr:uid="{0610B65C-D975-4020-BB49-CA6313802642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E-Tech full hybrid 145 (103Kw)</t>
        </r>
      </text>
    </comment>
    <comment ref="L13" authorId="0" shapeId="0" xr:uid="{105A58D2-FD24-4208-8F32-5ABAB2BB1F49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COLT 160 HEV Kaiteki</t>
        </r>
      </text>
    </comment>
    <comment ref="L14" authorId="0" shapeId="0" xr:uid="{6A62D59F-816A-4C1D-A2D2-0F86EC62D0F1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Hybrid 140
</t>
        </r>
      </text>
    </comment>
    <comment ref="L15" authorId="0" shapeId="0" xr:uid="{C36D2FAA-D81A-4B4E-BE08-71C93D6164EA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Jazz Crosstar Hybrid</t>
        </r>
      </text>
    </comment>
    <comment ref="L16" authorId="0" shapeId="0" xr:uid="{84C056AA-9C4D-4563-9DEB-FCB6D59A0044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Active Plus Hybrid 130
</t>
        </r>
      </text>
    </comment>
    <comment ref="L17" authorId="0" shapeId="0" xr:uid="{F784D838-67F6-4249-A13B-C13C3D034141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Vitara 1.5L AGS Strong Hybrid S2</t>
        </r>
      </text>
    </comment>
    <comment ref="L18" authorId="0" shapeId="0" xr:uid="{0E1061C4-5F80-46FC-BBCE-8F1C2976BA23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"Desde"</t>
        </r>
      </text>
    </comment>
    <comment ref="L19" authorId="0" shapeId="0" xr:uid="{ABF8E2BB-FFE2-4B59-BCF3-C4659501644B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Juke Acenta 1.6 Hybrid 143CV (105kW) E6D-F
Precio financiado (no se encuentra el PVP)</t>
        </r>
      </text>
    </comment>
    <comment ref="L20" authorId="0" shapeId="0" xr:uid="{10B57695-CF89-406B-986A-AE9C58EAD0BD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160 HEV Kaiteki</t>
        </r>
      </text>
    </comment>
    <comment ref="L21" authorId="0" shapeId="0" xr:uid="{6E7F7CF8-C35E-487B-9543-238A9EE3E7C6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CAPTUR evolution E-Tech full hybrid 105 kW (145CV)</t>
        </r>
      </text>
    </comment>
    <comment ref="L22" authorId="0" shapeId="0" xr:uid="{72964F1E-DC5D-456C-9D09-703B65763ECA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1.5L AGS STRONG HYBRID S2</t>
        </r>
      </text>
    </comment>
    <comment ref="L23" authorId="0" shapeId="0" xr:uid="{27ADB59D-F3D3-4DF5-9247-9778B9EC1736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Elegance 1.5 I-MMD eCVT Full Hybrid</t>
        </r>
      </text>
    </comment>
    <comment ref="L24" authorId="0" shapeId="0" xr:uid="{2CCE9ED0-C6D3-4CC8-81E7-6FE7EA3CCB8B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Expression HYBRID 105kw (140CV) 4x2</t>
        </r>
      </text>
    </comment>
    <comment ref="L25" authorId="0" shapeId="0" xr:uid="{02C2E5C7-B644-4E7F-9C6B-BC6DB3AED249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CH-R Active Hybrid 140 4x2</t>
        </r>
      </text>
    </comment>
    <comment ref="L26" authorId="0" shapeId="0" xr:uid="{AD30DB6E-FAB8-4FFF-8353-240BC5133456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SYMBIOZ evolution E-Tech full hybrid 105 kW (145 CV)</t>
        </r>
      </text>
    </comment>
    <comment ref="L27" authorId="0" shapeId="0" xr:uid="{A4F6C2E9-6C42-440A-BE93-D18E76755246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Qashqai Acenta e-POWER 190CV (140kW)
Precio financiado (no hay PVP)</t>
        </r>
      </text>
    </comment>
    <comment ref="L28" authorId="0" shapeId="0" xr:uid="{D6B80795-D648-481F-B7AC-C397F35CCE1A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1.8 l Hybrid</t>
        </r>
      </text>
    </comment>
    <comment ref="L29" authorId="0" shapeId="0" xr:uid="{7235B21D-814F-4A7D-B8D8-F86C4A644B63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UX+</t>
        </r>
      </text>
    </comment>
    <comment ref="L30" authorId="0" shapeId="0" xr:uid="{69A60269-061C-494D-A847-FF542919ECEB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1.6 T-GDi HEV 215CV 6AT 4x2 Automático (sin descuento de financiación)</t>
        </r>
      </text>
    </comment>
    <comment ref="L32" authorId="0" shapeId="0" xr:uid="{37630253-0453-4E1D-9863-CF93BA52E5C1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AUSTRAL evolution E-Tech full hybrid 200 (146kW) -SS</t>
        </r>
      </text>
    </comment>
    <comment ref="L33" authorId="0" shapeId="0" xr:uid="{DC2E9615-CD2B-4736-BE19-3E63200378EB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Drive 1.6 HEV -171kW (210CV) 6AT 4x2 (Gasolina, AT). Precio financiado (no se puede consultar el PVP)</t>
        </r>
      </text>
    </comment>
    <comment ref="L34" authorId="0" shapeId="0" xr:uid="{B239A377-1987-4C00-91F9-5C7314E522BE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Expression HYBRID 105kW (140CV) 5 plazas</t>
        </r>
      </text>
    </comment>
    <comment ref="L35" authorId="0" shapeId="0" xr:uid="{8AFA0EDA-5C38-413F-84E1-5ACE1E90DB2D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Evolution E-Tech full hybrid 105 kW (145CV)</t>
        </r>
      </text>
    </comment>
    <comment ref="L36" authorId="0" shapeId="0" xr:uid="{8C6E2F3B-85BC-48E7-B39B-051AF8991147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Elegance 2.0 I-MMD eCVT Full Hybrid 4x2</t>
        </r>
      </text>
    </comment>
    <comment ref="L37" authorId="0" shapeId="0" xr:uid="{1F369B11-D0F2-431E-BEAD-9E07ADDA3B6D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Bigster Expression HYBRID 115kw (155CV) 4x2</t>
        </r>
      </text>
    </comment>
    <comment ref="L38" authorId="0" shapeId="0" xr:uid="{F4C20F82-FEB5-4381-B4B5-D562CF409006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RAV4 Advance Hybrid 5P</t>
        </r>
      </text>
    </comment>
    <comment ref="L39" authorId="0" shapeId="0" xr:uid="{E0F96778-5F8D-4D60-B209-2FA362195DDD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Premium+</t>
        </r>
      </text>
    </comment>
    <comment ref="L40" authorId="0" shapeId="0" xr:uid="{56758844-C592-4BA4-9DBA-7CAFB8B1100C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Active (parece que es HEV pero podría ser mHEV)
</t>
        </r>
      </text>
    </comment>
    <comment ref="L41" authorId="0" shapeId="0" xr:uid="{13F7C8AE-0C9C-4701-AB68-E0C95FD10815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Acenta e-POWER Yuki White
Financiado (no existe PVP)
</t>
        </r>
      </text>
    </comment>
    <comment ref="L42" authorId="0" shapeId="0" xr:uid="{B93280F2-172F-4E10-8363-A113EDA40E47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Elegance 2.0 I-MMD eCVT Full Hybrid 4x2</t>
        </r>
      </text>
    </comment>
    <comment ref="L43" authorId="0" shapeId="0" xr:uid="{BCF0AAD1-9C28-48CD-BD38-717EFD517993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Techno E-Tech full hybrid 200 cv</t>
        </r>
      </text>
    </comment>
    <comment ref="L44" authorId="0" shapeId="0" xr:uid="{9439F16B-EDD5-4797-A02A-20FCEB91FD2E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Techno full hybrid E-Tech 200</t>
        </r>
      </text>
    </comment>
    <comment ref="L45" authorId="0" shapeId="0" xr:uid="{31362F03-8E5D-4C79-A4B2-20EB14D2AEE9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1.6 TGDI HEV 215CV 6AT 4x4</t>
        </r>
      </text>
    </comment>
    <comment ref="L46" authorId="0" shapeId="0" xr:uid="{C15EF05C-5A5E-41FA-9CB0-21B174A148EB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Solo hay un híbrido no enchufable. El F Sport y es el más caro de la serie. Todos los demás son híbridos enchufables.</t>
        </r>
      </text>
    </comment>
    <comment ref="L47" authorId="0" shapeId="0" xr:uid="{120E7293-D0AE-43CA-A36D-18B005FF2C28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Highlander Advance Hybrid 190H e-CVT 5P </t>
        </r>
      </text>
    </comment>
    <comment ref="L48" authorId="0" shapeId="0" xr:uid="{B30C22F6-5E73-41B2-9B4E-D5B6823F8F91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1.6 GDi HEV 96 kW (129 cv) (Gasolina, DCT). Precio financiado
</t>
        </r>
      </text>
    </comment>
    <comment ref="L49" authorId="0" shapeId="0" xr:uid="{21207393-63C0-40F8-8FE9-0035DDD81C7E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Financiado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Jesús Cardenal</author>
  </authors>
  <commentList>
    <comment ref="T3" authorId="0" shapeId="0" xr:uid="{E99FFE8C-5F27-4007-8D1D-ED280EE57098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https://www.carwow.co.uk/volkswagen/golf-gte#gref</t>
        </r>
      </text>
    </comment>
    <comment ref="T8" authorId="0" shapeId="0" xr:uid="{7619FADD-361F-4EED-ACF8-649DE647452F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https://periodismodelmotor.com/prueba-ds-4-e-tense-2023/386034/</t>
        </r>
      </text>
    </comment>
    <comment ref="B9" authorId="0" shapeId="0" xr:uid="{F72F207A-FF58-49F8-A0A8-8444D08F0CFC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A 250e</t>
        </r>
      </text>
    </comment>
    <comment ref="B13" authorId="0" shapeId="0" xr:uid="{1983BBEC-129E-4CD1-85AF-CA5FCA162D87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CLA 250 e Coupé</t>
        </r>
      </text>
    </comment>
    <comment ref="B16" authorId="0" shapeId="0" xr:uid="{E181A079-A5D2-482C-8369-311269B52DF1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C 300 de</t>
        </r>
      </text>
    </comment>
    <comment ref="B18" authorId="0" shapeId="0" xr:uid="{C7BEB3B3-6403-4DEE-A284-DD31B3D3477B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E 300 e</t>
        </r>
      </text>
    </comment>
    <comment ref="B20" authorId="0" shapeId="0" xr:uid="{6CD17849-0933-480F-B470-337AE21EFC3A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Panamera 4 E-Hybrid</t>
        </r>
      </text>
    </comment>
    <comment ref="B21" authorId="0" shapeId="0" xr:uid="{0B8488BD-AC43-4C30-8332-DB7070E68AD7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S 450 e</t>
        </r>
      </text>
    </comment>
    <comment ref="T21" authorId="0" shapeId="0" xr:uid="{37685A40-B67C-4091-B290-0CD674FD4DC0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https://www.automobile-catalog.com/car/2025/3122795/mercedes-benz_s_450_e.html#gsc.tab=0</t>
        </r>
      </text>
    </comment>
    <comment ref="B28" authorId="0" shapeId="0" xr:uid="{6F6433C0-1036-42BE-8F4B-3AB5E5A39296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https://ownersmanual.kia.com/manual/Ceed%20SW%20PHEV?langCode=SG&amp;countryCode=C17&amp;projCode=CDE&amp;year=2024</t>
        </r>
      </text>
    </comment>
    <comment ref="B35" authorId="0" shapeId="0" xr:uid="{9C5B126D-8EEB-473B-9235-77F0265F50C3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C 300 e</t>
        </r>
      </text>
    </comment>
    <comment ref="T36" authorId="0" shapeId="0" xr:uid="{89E3E049-F702-4966-83E0-1D31F1EB2BE0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https://www.greencarguide.co.uk/car-reviews-and-road-tests/volvo-v60-plug-in-hybrid/</t>
        </r>
      </text>
    </comment>
    <comment ref="T38" authorId="0" shapeId="0" xr:uid="{49CBDA79-29CF-4D83-9FDD-82466DE108D7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https://www.volkswagen-newsroom.com/en/press-releases/plug-in-hybrid-drives-tdi-4motion-new-passat-can-now-be-ordered-with-further-drive-variants-from-41745-euros-18307</t>
        </r>
      </text>
    </comment>
    <comment ref="T39" authorId="0" shapeId="0" xr:uid="{5504DD8D-4CCA-4A68-BFEB-3133A7DD7466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https://www.whatcar.com/news/volvo-v90-plug-in-hybrid-long-term-test-report-1/n23490</t>
        </r>
      </text>
    </comment>
    <comment ref="B40" authorId="0" shapeId="0" xr:uid="{FDBFFB3D-EFEC-4BC5-B979-8CCB43160E0B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300 e Estate</t>
        </r>
      </text>
    </comment>
    <comment ref="B42" authorId="0" shapeId="0" xr:uid="{974CAC00-32CB-4FFB-8288-61EEE9008840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B 250 e</t>
        </r>
      </text>
    </comment>
    <comment ref="R45" authorId="0" shapeId="0" xr:uid="{2396B771-932E-41AC-A70B-AACA0D148240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https://www.motor.es/pruebas-coches/prueba-toyota-c-hr-plug-in-hybrid-2025106806.html</t>
        </r>
      </text>
    </comment>
    <comment ref="B46" authorId="0" shapeId="0" xr:uid="{60883119-44BE-4BE3-B64E-F9184E20F766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P270e</t>
        </r>
      </text>
    </comment>
    <comment ref="T48" authorId="0" shapeId="0" xr:uid="{C935E0A5-4711-4D89-AE42-666DB44AE872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https://www.epaceforums.co.uk/threads/phev-real-mpg.1279/</t>
        </r>
      </text>
    </comment>
    <comment ref="B49" authorId="0" shapeId="0" xr:uid="{609DF695-0F90-47C3-8A6E-4BBD817A66CA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GLA 250 e</t>
        </r>
      </text>
    </comment>
    <comment ref="T55" authorId="0" shapeId="0" xr:uid="{29742C1A-4016-467C-94F9-16C789ECDCA2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https://www.autoexpress.co.uk/alfa-romeo/tonale/mpg</t>
        </r>
      </text>
    </comment>
    <comment ref="T56" authorId="0" shapeId="0" xr:uid="{006F8E7D-0F79-4DF9-8661-A6B6EBDEEA62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https://www.volkswagen-newsroom.com/en/publications/more/the-all-new-tiguan-2625/download</t>
        </r>
      </text>
    </comment>
    <comment ref="T57" authorId="0" shapeId="0" xr:uid="{8091498B-06CE-410D-A0FA-27ED4DC85565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https://www.spritmonitor.de/en/detail/1311875.html</t>
        </r>
      </text>
    </comment>
    <comment ref="T60" authorId="0" shapeId="0" xr:uid="{DD6EC663-E583-4BFE-B3D6-1706DA244F29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https://es.motor1.com/reviews/660606/ds7-etense-4x4-phev-prueba-consumo/</t>
        </r>
      </text>
    </comment>
    <comment ref="B61" authorId="0" shapeId="0" xr:uid="{53BD3CE2-134D-435C-9DD9-6AABDB97EE81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P270e</t>
        </r>
      </text>
    </comment>
    <comment ref="T61" authorId="0" shapeId="0" xr:uid="{5B138996-094C-4FE3-8317-1DC03B39B36E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https://www.automobile-catalog.com/</t>
        </r>
      </text>
    </comment>
    <comment ref="T62" authorId="0" shapeId="0" xr:uid="{48EA9456-F397-41B5-BEC9-0F0BE21BBCA5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https://www.toyota.com/rav4pluginhybrid/features/mpg_other_price/4544/4550</t>
        </r>
      </text>
    </comment>
    <comment ref="R63" authorId="0" shapeId="0" xr:uid="{BE62AA65-E1F7-4C40-952D-B23C8B03EA95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https://zeperfs.com/en/fiche8632-ford-kuga-iii-2-5-hybrid-phev.htm</t>
        </r>
      </text>
    </comment>
    <comment ref="T63" authorId="0" shapeId="0" xr:uid="{7D4D8B3F-8CC9-4D10-8B2D-DC74E7ADDD00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https://www.motor16.com/pruebas/prueba-ford-kuga-active-phev-hibrido/</t>
        </r>
      </text>
    </comment>
    <comment ref="T64" authorId="0" shapeId="0" xr:uid="{80BDE10B-E967-4F06-B4DE-E5CCC87C88DC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https://www.mgevs.com/threads/hs-plug-in-mpg-performance-with-battery-depleted.15403/</t>
        </r>
      </text>
    </comment>
    <comment ref="B67" authorId="0" shapeId="0" xr:uid="{71BD9811-9206-44B2-A54B-DE8679B1D29F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NX 450H+</t>
        </r>
      </text>
    </comment>
    <comment ref="B69" authorId="0" shapeId="0" xr:uid="{E2D99F6E-5E79-4F59-8372-4804291BD80B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T8 AWD Híbrido enchufable
https://www.caranddriver.com/volvo/xc60-hybrid</t>
        </r>
      </text>
    </comment>
    <comment ref="T69" authorId="0" shapeId="0" xr:uid="{9E6ECA74-A977-4354-9485-5F2450E7165B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https://www.caranddriver.com/volvo/xc60-hybrid</t>
        </r>
      </text>
    </comment>
    <comment ref="B70" authorId="0" shapeId="0" xr:uid="{C2DBFC74-173A-435B-972A-7B19821DEB75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hyper hybrid E-Tech 4x4</t>
        </r>
      </text>
    </comment>
    <comment ref="B71" authorId="0" shapeId="0" xr:uid="{D788CB1B-C1A5-496A-8FBA-4E5B7E2E2DEB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GLC 300 e 4MATIC</t>
        </r>
      </text>
    </comment>
    <comment ref="B72" authorId="0" shapeId="0" xr:uid="{EE634102-F87F-4105-B177-0870C882369B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GLC 300 e Coupé 4MATIC</t>
        </r>
      </text>
    </comment>
    <comment ref="B76" authorId="0" shapeId="0" xr:uid="{AD39C395-A917-4781-B293-703C478CE989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P300e</t>
        </r>
      </text>
    </comment>
    <comment ref="T76" authorId="0" shapeId="0" xr:uid="{027C799F-86AD-42F0-A51F-0E96649AC50D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https://www.automobile-catalog.com/</t>
        </r>
      </text>
    </comment>
    <comment ref="T77" authorId="0" shapeId="0" xr:uid="{3BFA260F-96B5-497B-A51E-C05D0010F8FF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https://www.volkswagen-newsroom.com/en/the-new-tayron-media-drive-19011</t>
        </r>
      </text>
    </comment>
    <comment ref="B79" authorId="0" shapeId="0" xr:uid="{42531537-95FE-469E-90AD-749B9D8A7953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P400e</t>
        </r>
      </text>
    </comment>
    <comment ref="T79" authorId="0" shapeId="0" xr:uid="{B15BB496-7143-407F-88BD-D6423B6B1346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https://www.automobile-catalog.com/</t>
        </r>
      </text>
    </comment>
    <comment ref="B83" authorId="0" shapeId="0" xr:uid="{D20E3ABA-B935-4A0F-A140-19AE0827AA09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RX450H+</t>
        </r>
      </text>
    </comment>
    <comment ref="B84" authorId="0" shapeId="0" xr:uid="{092E7471-853F-4844-9D00-D68762EB07F0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https://www.volkswagen-newsroom.com/en/touareg-ehybrid-and-touareg-r-international-media-drive-6461/the-technical-data-of-the-new-touareg-hybrid-models-6507</t>
        </r>
      </text>
    </comment>
    <comment ref="T84" authorId="0" shapeId="0" xr:uid="{041A5626-95E3-4628-9054-FCBEEC2A9BCF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https://www.parkers.co.uk/volkswagen/touareg/review/mpg-running-costs/</t>
        </r>
      </text>
    </comment>
    <comment ref="B86" authorId="0" shapeId="0" xr:uid="{803DD685-E24F-4865-A41F-C45E95FE00CC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GLE 400 e 4MATIC</t>
        </r>
      </text>
    </comment>
    <comment ref="B87" authorId="0" shapeId="0" xr:uid="{E76BDC3F-29F8-48AA-9F77-E36333F3F481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P460e</t>
        </r>
      </text>
    </comment>
    <comment ref="T87" authorId="0" shapeId="0" xr:uid="{42E0BE34-EDA9-47E9-85B5-D798A8CFA547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https://www.automobile-catalog.com/</t>
        </r>
      </text>
    </comment>
    <comment ref="T88" authorId="0" shapeId="0" xr:uid="{BBA9FE3D-D1F2-423B-93EF-29B40F282F7B}">
      <text>
        <r>
          <rPr>
            <b/>
            <sz val="9"/>
            <color indexed="81"/>
            <rFont val="Tahoma"/>
            <family val="2"/>
          </rPr>
          <t>Jesús Cardenal:</t>
        </r>
        <r>
          <rPr>
            <sz val="9"/>
            <color indexed="81"/>
            <rFont val="Tahoma"/>
            <family val="2"/>
          </rPr>
          <t xml:space="preserve">
https://www.volvocarswesthouston.com/volvo-xc90-hybrid-recharge-mpg.htm</t>
        </r>
      </text>
    </comment>
  </commentList>
</comments>
</file>

<file path=xl/sharedStrings.xml><?xml version="1.0" encoding="utf-8"?>
<sst xmlns="http://schemas.openxmlformats.org/spreadsheetml/2006/main" count="5164" uniqueCount="1104">
  <si>
    <t>marca</t>
  </si>
  <si>
    <t>modelo</t>
  </si>
  <si>
    <t>categoría</t>
  </si>
  <si>
    <t>maletero dm3</t>
  </si>
  <si>
    <t>longitud</t>
  </si>
  <si>
    <t>anchura</t>
  </si>
  <si>
    <t>altura</t>
  </si>
  <si>
    <t>Skoda</t>
  </si>
  <si>
    <t>Fabia</t>
  </si>
  <si>
    <t>compacto</t>
  </si>
  <si>
    <t>MG</t>
  </si>
  <si>
    <t>MG3</t>
  </si>
  <si>
    <t>Mini</t>
  </si>
  <si>
    <t>Clubman</t>
  </si>
  <si>
    <t>VW</t>
  </si>
  <si>
    <t>ID.3</t>
  </si>
  <si>
    <t>año</t>
  </si>
  <si>
    <t>tipo</t>
  </si>
  <si>
    <t>Golf</t>
  </si>
  <si>
    <t>g</t>
  </si>
  <si>
    <t>g/d</t>
  </si>
  <si>
    <t>bev</t>
  </si>
  <si>
    <t>hev</t>
  </si>
  <si>
    <t>MG4</t>
  </si>
  <si>
    <t>Kia</t>
  </si>
  <si>
    <t>Ceed</t>
  </si>
  <si>
    <t>g/mhev</t>
  </si>
  <si>
    <t>Cupra</t>
  </si>
  <si>
    <t>Born</t>
  </si>
  <si>
    <t>Hyundai</t>
  </si>
  <si>
    <t>i30</t>
  </si>
  <si>
    <t>g/d/mhev</t>
  </si>
  <si>
    <t>Audi</t>
  </si>
  <si>
    <t>A3 Sportsback</t>
  </si>
  <si>
    <t>Citroën</t>
  </si>
  <si>
    <t>C4</t>
  </si>
  <si>
    <t>g/d/bev</t>
  </si>
  <si>
    <t>BMW</t>
  </si>
  <si>
    <t>Serie 1</t>
  </si>
  <si>
    <t>Scala</t>
  </si>
  <si>
    <t>Peugeot</t>
  </si>
  <si>
    <t>Seat</t>
  </si>
  <si>
    <t>León</t>
  </si>
  <si>
    <t>Fiat</t>
  </si>
  <si>
    <t>Tipo 5P</t>
  </si>
  <si>
    <t>Toyota</t>
  </si>
  <si>
    <t>Corolla</t>
  </si>
  <si>
    <t>Opel</t>
  </si>
  <si>
    <t>Astra</t>
  </si>
  <si>
    <t>Ford</t>
  </si>
  <si>
    <t>Focus</t>
  </si>
  <si>
    <t>phev</t>
  </si>
  <si>
    <t>phev/bev</t>
  </si>
  <si>
    <t>DS</t>
  </si>
  <si>
    <t>DS4</t>
  </si>
  <si>
    <t>d/g</t>
  </si>
  <si>
    <t>Clase A</t>
  </si>
  <si>
    <t>mediano</t>
  </si>
  <si>
    <t>d/mhev</t>
  </si>
  <si>
    <t>i30 Fastback</t>
  </si>
  <si>
    <t>Mazda</t>
  </si>
  <si>
    <t>mhev</t>
  </si>
  <si>
    <t>Nissan</t>
  </si>
  <si>
    <t>Leaf</t>
  </si>
  <si>
    <t>A3 Sedan</t>
  </si>
  <si>
    <t>Serie 2 Coupe</t>
  </si>
  <si>
    <t>Serie 2 Gran Coupe</t>
  </si>
  <si>
    <t>Clase A Sedan</t>
  </si>
  <si>
    <t>Honda</t>
  </si>
  <si>
    <t>Civic</t>
  </si>
  <si>
    <t>Prius</t>
  </si>
  <si>
    <t>C4 X</t>
  </si>
  <si>
    <t>ProCeed</t>
  </si>
  <si>
    <t>Polestar</t>
  </si>
  <si>
    <t>Corolla Sedan</t>
  </si>
  <si>
    <t>Alfa-Romeo</t>
  </si>
  <si>
    <t>Giulia</t>
  </si>
  <si>
    <t>3 Sedan</t>
  </si>
  <si>
    <t>Jaguar</t>
  </si>
  <si>
    <t>XE</t>
  </si>
  <si>
    <t>EV6</t>
  </si>
  <si>
    <t>Mercedes-Benz</t>
  </si>
  <si>
    <t>CLA Coupé</t>
  </si>
  <si>
    <t>Octavia</t>
  </si>
  <si>
    <t>d/g/mhev</t>
  </si>
  <si>
    <t>peso</t>
  </si>
  <si>
    <t>min</t>
  </si>
  <si>
    <t>max</t>
  </si>
  <si>
    <t>Serie 3 Berlina</t>
  </si>
  <si>
    <t>grande</t>
  </si>
  <si>
    <t>g/mhevg/mhevd</t>
  </si>
  <si>
    <t>Tesla</t>
  </si>
  <si>
    <t>Model 3</t>
  </si>
  <si>
    <t>Clase C Berlina</t>
  </si>
  <si>
    <t>mhevg/mhevd</t>
  </si>
  <si>
    <t>phevd/phevg</t>
  </si>
  <si>
    <t>Volvo</t>
  </si>
  <si>
    <t>S60</t>
  </si>
  <si>
    <t>phevg</t>
  </si>
  <si>
    <t>mhevg</t>
  </si>
  <si>
    <t>Serie 4 coupé</t>
  </si>
  <si>
    <t>i4</t>
  </si>
  <si>
    <t>BYD</t>
  </si>
  <si>
    <t>Seal</t>
  </si>
  <si>
    <t>C5 X</t>
  </si>
  <si>
    <t>A5 Sedan</t>
  </si>
  <si>
    <t>Renault</t>
  </si>
  <si>
    <t>Talisman</t>
  </si>
  <si>
    <t>Ioniq 6</t>
  </si>
  <si>
    <t>Camry</t>
  </si>
  <si>
    <t>hevg</t>
  </si>
  <si>
    <t>Superb</t>
  </si>
  <si>
    <t>d/g/mhevg</t>
  </si>
  <si>
    <t>6e</t>
  </si>
  <si>
    <t>A6 Sportback e-tron</t>
  </si>
  <si>
    <t>DS9</t>
  </si>
  <si>
    <t>g/phevg</t>
  </si>
  <si>
    <t>EQE</t>
  </si>
  <si>
    <t>Clase E</t>
  </si>
  <si>
    <t>Volkswagen</t>
  </si>
  <si>
    <t>ID.7</t>
  </si>
  <si>
    <t>XF</t>
  </si>
  <si>
    <t>g/mhevd</t>
  </si>
  <si>
    <t>S90</t>
  </si>
  <si>
    <t>Porsche</t>
  </si>
  <si>
    <t>Taycan</t>
  </si>
  <si>
    <t>Model S</t>
  </si>
  <si>
    <t>Mirai</t>
  </si>
  <si>
    <t>fcev</t>
  </si>
  <si>
    <t>Lexus</t>
  </si>
  <si>
    <t>ES</t>
  </si>
  <si>
    <t>Han</t>
  </si>
  <si>
    <t>e-tron GT</t>
  </si>
  <si>
    <t>Serie 5 Berlina</t>
  </si>
  <si>
    <t>Serie 8 Coupé</t>
  </si>
  <si>
    <t>lujo</t>
  </si>
  <si>
    <t>A7 Sportback</t>
  </si>
  <si>
    <t>Maserati</t>
  </si>
  <si>
    <t>Ghibli</t>
  </si>
  <si>
    <t>g/mhevg</t>
  </si>
  <si>
    <t>CLS Coupé</t>
  </si>
  <si>
    <t>d/g/mhevd/mhevg</t>
  </si>
  <si>
    <t>Panamera</t>
  </si>
  <si>
    <t>Serie 8 Gran Coupé</t>
  </si>
  <si>
    <t>XJ</t>
  </si>
  <si>
    <t>d</t>
  </si>
  <si>
    <t>Clase S</t>
  </si>
  <si>
    <t>d/mhevg</t>
  </si>
  <si>
    <t>A8</t>
  </si>
  <si>
    <t>EQS</t>
  </si>
  <si>
    <t>LS</t>
  </si>
  <si>
    <t>Quattroporte</t>
  </si>
  <si>
    <t>Bentley</t>
  </si>
  <si>
    <t>Flying Spur</t>
  </si>
  <si>
    <t>Serie 7</t>
  </si>
  <si>
    <t>mhevd/phevg</t>
  </si>
  <si>
    <t>Rolls-Royce</t>
  </si>
  <si>
    <t>Spectre</t>
  </si>
  <si>
    <t>Ghost</t>
  </si>
  <si>
    <t>Phantom</t>
  </si>
  <si>
    <t>Ami</t>
  </si>
  <si>
    <t>pequeño</t>
  </si>
  <si>
    <t>Mobilize</t>
  </si>
  <si>
    <t>Duo</t>
  </si>
  <si>
    <t>Topolino</t>
  </si>
  <si>
    <t>Picanto</t>
  </si>
  <si>
    <t>i10</t>
  </si>
  <si>
    <t>Panda</t>
  </si>
  <si>
    <t>Aygo X</t>
  </si>
  <si>
    <t>utilitario</t>
  </si>
  <si>
    <t>Mitsubishi</t>
  </si>
  <si>
    <t>Space Star</t>
  </si>
  <si>
    <t>Suzuki</t>
  </si>
  <si>
    <t>Swift</t>
  </si>
  <si>
    <t>Cooper</t>
  </si>
  <si>
    <t>e</t>
  </si>
  <si>
    <t>5 E-Tech</t>
  </si>
  <si>
    <t>Yaris</t>
  </si>
  <si>
    <t>2 Hybrid</t>
  </si>
  <si>
    <t>Micra</t>
  </si>
  <si>
    <t>i3</t>
  </si>
  <si>
    <t>C3</t>
  </si>
  <si>
    <t>5 Puertas</t>
  </si>
  <si>
    <t>A1 Sportback</t>
  </si>
  <si>
    <t>Fiesta</t>
  </si>
  <si>
    <t>Jazz</t>
  </si>
  <si>
    <t>ID.2all</t>
  </si>
  <si>
    <t>Clio</t>
  </si>
  <si>
    <t>Colt</t>
  </si>
  <si>
    <t>Ibiza</t>
  </si>
  <si>
    <t>Corsa</t>
  </si>
  <si>
    <t>i20</t>
  </si>
  <si>
    <t>Polo</t>
  </si>
  <si>
    <t>Lancia</t>
  </si>
  <si>
    <t>Ypsilon</t>
  </si>
  <si>
    <t>Dacia</t>
  </si>
  <si>
    <t>Sandero</t>
  </si>
  <si>
    <t>MX-5</t>
  </si>
  <si>
    <t>deportivo</t>
  </si>
  <si>
    <t>Alpine</t>
  </si>
  <si>
    <t>A290</t>
  </si>
  <si>
    <t>A110</t>
  </si>
  <si>
    <t>GR86</t>
  </si>
  <si>
    <t>Z4</t>
  </si>
  <si>
    <t>718 Boxster</t>
  </si>
  <si>
    <t>718 Cayman</t>
  </si>
  <si>
    <t>GR Supra</t>
  </si>
  <si>
    <t>Lotus</t>
  </si>
  <si>
    <t>Emira</t>
  </si>
  <si>
    <t>Evija</t>
  </si>
  <si>
    <t>F-Type Coupé</t>
  </si>
  <si>
    <t>Aston-Martin</t>
  </si>
  <si>
    <t>Vantage</t>
  </si>
  <si>
    <t>McLaren</t>
  </si>
  <si>
    <t>Artura</t>
  </si>
  <si>
    <t>911 Carrera</t>
  </si>
  <si>
    <t>g/hevg</t>
  </si>
  <si>
    <t>720S</t>
  </si>
  <si>
    <t>Lamborghini</t>
  </si>
  <si>
    <t>Huracán STO</t>
  </si>
  <si>
    <t>Ferrari</t>
  </si>
  <si>
    <t>296 GTB</t>
  </si>
  <si>
    <t>Huracán Tecnica</t>
  </si>
  <si>
    <t>765LT</t>
  </si>
  <si>
    <t>Roma</t>
  </si>
  <si>
    <t>MC20</t>
  </si>
  <si>
    <t>GT</t>
  </si>
  <si>
    <t>Temerario</t>
  </si>
  <si>
    <t>SF90 Stradale</t>
  </si>
  <si>
    <t>DBS</t>
  </si>
  <si>
    <t>DB12</t>
  </si>
  <si>
    <t>12 Cilindri</t>
  </si>
  <si>
    <t>LC</t>
  </si>
  <si>
    <t>Mustang</t>
  </si>
  <si>
    <t>Continental GT</t>
  </si>
  <si>
    <t>Revuelto</t>
  </si>
  <si>
    <t>GranTurismo</t>
  </si>
  <si>
    <t>Tipo SW</t>
  </si>
  <si>
    <t>familiar</t>
  </si>
  <si>
    <t>g/d/mhevg</t>
  </si>
  <si>
    <t>i30 Cw</t>
  </si>
  <si>
    <t>g/d/mhevg/mhevd</t>
  </si>
  <si>
    <t>Ceed Tourer</t>
  </si>
  <si>
    <t>MG5</t>
  </si>
  <si>
    <t>Golf Variant</t>
  </si>
  <si>
    <t>308 SW</t>
  </si>
  <si>
    <t>phevg/bev</t>
  </si>
  <si>
    <t>Astra Sports Tourer</t>
  </si>
  <si>
    <t>Corolla Touring Sports</t>
  </si>
  <si>
    <t>Swace</t>
  </si>
  <si>
    <t>León Sports Tourer</t>
  </si>
  <si>
    <t>Focus Sportbreak</t>
  </si>
  <si>
    <t>CLA Shootin Brake</t>
  </si>
  <si>
    <t>Octavia Combi</t>
  </si>
  <si>
    <t>Serie 3 Touring</t>
  </si>
  <si>
    <t>Clase C Estate</t>
  </si>
  <si>
    <t>phevg/phevd</t>
  </si>
  <si>
    <t>V60</t>
  </si>
  <si>
    <t>508 SW</t>
  </si>
  <si>
    <t>A5 Avant</t>
  </si>
  <si>
    <t>Talisman Sport Tourer</t>
  </si>
  <si>
    <t>Superb Combi</t>
  </si>
  <si>
    <t>Passat Variant</t>
  </si>
  <si>
    <t>A6 Avan e-tron</t>
  </si>
  <si>
    <t>V90</t>
  </si>
  <si>
    <t>A6 Avant</t>
  </si>
  <si>
    <t>Clase E Estate</t>
  </si>
  <si>
    <t>ID.7 Tourer</t>
  </si>
  <si>
    <t>Serie 5 Touring</t>
  </si>
  <si>
    <t>XF Sportbrake</t>
  </si>
  <si>
    <t>4 E-Tech</t>
  </si>
  <si>
    <t>monovolumen</t>
  </si>
  <si>
    <t>Serie 2 Active Tourer</t>
  </si>
  <si>
    <t>Clase T Compacto</t>
  </si>
  <si>
    <t>Clase B Sports Tourer</t>
  </si>
  <si>
    <t>Touran</t>
  </si>
  <si>
    <t>LM 350H</t>
  </si>
  <si>
    <t>Staria</t>
  </si>
  <si>
    <t>Ignis</t>
  </si>
  <si>
    <t>Spring</t>
  </si>
  <si>
    <t>Inster</t>
  </si>
  <si>
    <t>A1 Allstreet</t>
  </si>
  <si>
    <t>Fiesta Active</t>
  </si>
  <si>
    <t>Aceman</t>
  </si>
  <si>
    <t>Jeep</t>
  </si>
  <si>
    <t>Avenger</t>
  </si>
  <si>
    <t>Jazz Crosstar</t>
  </si>
  <si>
    <t>DS3</t>
  </si>
  <si>
    <t>mhevg/bev</t>
  </si>
  <si>
    <t>T-Cross</t>
  </si>
  <si>
    <t>Stonic</t>
  </si>
  <si>
    <t>Mokka</t>
  </si>
  <si>
    <t>Arona</t>
  </si>
  <si>
    <t>Junior</t>
  </si>
  <si>
    <t>Yaris Cross</t>
  </si>
  <si>
    <t>Bayon</t>
  </si>
  <si>
    <t>Vitara</t>
  </si>
  <si>
    <t>Puma</t>
  </si>
  <si>
    <t>LBX</t>
  </si>
  <si>
    <t>e-Soul</t>
  </si>
  <si>
    <t>Compact SUV</t>
  </si>
  <si>
    <t>Small SUV</t>
  </si>
  <si>
    <t>Q2</t>
  </si>
  <si>
    <t>Juke</t>
  </si>
  <si>
    <t>Crossland</t>
  </si>
  <si>
    <t>KGM</t>
  </si>
  <si>
    <t>Tivoli</t>
  </si>
  <si>
    <t>ASX</t>
  </si>
  <si>
    <t>hevg/phevg</t>
  </si>
  <si>
    <t>EX30</t>
  </si>
  <si>
    <t>Renegade</t>
  </si>
  <si>
    <t>T-Roc</t>
  </si>
  <si>
    <t>Captur</t>
  </si>
  <si>
    <t>Kamiq</t>
  </si>
  <si>
    <t>500X</t>
  </si>
  <si>
    <t>Smart</t>
  </si>
  <si>
    <t>Taigo</t>
  </si>
  <si>
    <t>Dolphin</t>
  </si>
  <si>
    <t>Countryman</t>
  </si>
  <si>
    <t>S-Cross</t>
  </si>
  <si>
    <t>g/mhevg/bev</t>
  </si>
  <si>
    <t>Atto 2</t>
  </si>
  <si>
    <t>ZS</t>
  </si>
  <si>
    <t>g/bev</t>
  </si>
  <si>
    <t>HR-V</t>
  </si>
  <si>
    <t>Duster</t>
  </si>
  <si>
    <t>mhevg/hevg</t>
  </si>
  <si>
    <t>C-HR</t>
  </si>
  <si>
    <t>Land-Rover</t>
  </si>
  <si>
    <t>Range Rover Evoque</t>
  </si>
  <si>
    <t>d/mhevg/mhevd/phevg</t>
  </si>
  <si>
    <t>Ateca</t>
  </si>
  <si>
    <t>Frontera</t>
  </si>
  <si>
    <t>Tipo Cross</t>
  </si>
  <si>
    <t>e:Ny1</t>
  </si>
  <si>
    <t>Karoq</t>
  </si>
  <si>
    <t>CX-30</t>
  </si>
  <si>
    <t>Compass</t>
  </si>
  <si>
    <t>E-Pace</t>
  </si>
  <si>
    <t>d/mhevd/mhevg/phevg</t>
  </si>
  <si>
    <t>Xceed</t>
  </si>
  <si>
    <t>d/g/mhevg/mhevd</t>
  </si>
  <si>
    <t>C3 Aircross</t>
  </si>
  <si>
    <t>Focus Active</t>
  </si>
  <si>
    <t>#3</t>
  </si>
  <si>
    <t>GLA</t>
  </si>
  <si>
    <t>Symbioz</t>
  </si>
  <si>
    <t>Niro</t>
  </si>
  <si>
    <t>mhevg/phevg/bev</t>
  </si>
  <si>
    <t>Qashqai</t>
  </si>
  <si>
    <t>XC-40</t>
  </si>
  <si>
    <t>g/mhevg/phevg/bev</t>
  </si>
  <si>
    <t>SsangYong</t>
  </si>
  <si>
    <t>Korando</t>
  </si>
  <si>
    <t>Formentor</t>
  </si>
  <si>
    <t>Atto 3</t>
  </si>
  <si>
    <t>Corolla Cross</t>
  </si>
  <si>
    <t>Explorer</t>
  </si>
  <si>
    <t>EQA</t>
  </si>
  <si>
    <t>Tivoli Grand</t>
  </si>
  <si>
    <t>Q3</t>
  </si>
  <si>
    <t>Elroq</t>
  </si>
  <si>
    <t>UX</t>
  </si>
  <si>
    <t>Subaru</t>
  </si>
  <si>
    <t>Crosstrek</t>
  </si>
  <si>
    <t>Q3 Sportback</t>
  </si>
  <si>
    <t>Tucson</t>
  </si>
  <si>
    <t>Medium SUV</t>
  </si>
  <si>
    <t>Kona</t>
  </si>
  <si>
    <t>g/mhevg/hevg</t>
  </si>
  <si>
    <t>Austral</t>
  </si>
  <si>
    <t>Sportage</t>
  </si>
  <si>
    <t>Terramar</t>
  </si>
  <si>
    <t>Tonale</t>
  </si>
  <si>
    <t>d/mhevg/phevg</t>
  </si>
  <si>
    <t>Tuguan</t>
  </si>
  <si>
    <t>LynkCo</t>
  </si>
  <si>
    <t>01</t>
  </si>
  <si>
    <t>2008</t>
  </si>
  <si>
    <t>2</t>
  </si>
  <si>
    <t>208</t>
  </si>
  <si>
    <t>600</t>
  </si>
  <si>
    <t>500</t>
  </si>
  <si>
    <t>3008</t>
  </si>
  <si>
    <t>Eclipse Cross</t>
  </si>
  <si>
    <t>Jogger</t>
  </si>
  <si>
    <t>X2</t>
  </si>
  <si>
    <t>Arkana</t>
  </si>
  <si>
    <t>ZR-V</t>
  </si>
  <si>
    <t>Bigster</t>
  </si>
  <si>
    <t>CX-5</t>
  </si>
  <si>
    <t>ID.4</t>
  </si>
  <si>
    <t>Q4 e-tron</t>
  </si>
  <si>
    <t>Ariya</t>
  </si>
  <si>
    <t>DS7</t>
  </si>
  <si>
    <t>d/phevg</t>
  </si>
  <si>
    <t>Discovery Sport</t>
  </si>
  <si>
    <t>ID.5</t>
  </si>
  <si>
    <t>RAV4</t>
  </si>
  <si>
    <t>Kuga</t>
  </si>
  <si>
    <t>HS</t>
  </si>
  <si>
    <t>GLB</t>
  </si>
  <si>
    <t>Across</t>
  </si>
  <si>
    <t>Tavascan</t>
  </si>
  <si>
    <t>Enyaq IV</t>
  </si>
  <si>
    <t>Grandland</t>
  </si>
  <si>
    <t>Ioniq 5</t>
  </si>
  <si>
    <t>NX</t>
  </si>
  <si>
    <t>Nexo</t>
  </si>
  <si>
    <t>Forester</t>
  </si>
  <si>
    <t>X-Trail</t>
  </si>
  <si>
    <t>I-Pace</t>
  </si>
  <si>
    <t>Stelvio</t>
  </si>
  <si>
    <t>bZ4X</t>
  </si>
  <si>
    <t>Solterra</t>
  </si>
  <si>
    <t>Q5</t>
  </si>
  <si>
    <t>Big SUV &amp; All Road</t>
  </si>
  <si>
    <t>Torres</t>
  </si>
  <si>
    <t>CR-V</t>
  </si>
  <si>
    <t>XC-60</t>
  </si>
  <si>
    <t>mhevg/mhevd/phevg</t>
  </si>
  <si>
    <t>Rafale</t>
  </si>
  <si>
    <t>Mustang Mach-E</t>
  </si>
  <si>
    <t>GLC</t>
  </si>
  <si>
    <t>Espace</t>
  </si>
  <si>
    <t>GLC Coupé</t>
  </si>
  <si>
    <t>iX3</t>
  </si>
  <si>
    <t>Tarraco</t>
  </si>
  <si>
    <t>d/g/phevg</t>
  </si>
  <si>
    <t>CX-60</t>
  </si>
  <si>
    <t>F-Pace</t>
  </si>
  <si>
    <t>mhevd/mhevg</t>
  </si>
  <si>
    <t>X4</t>
  </si>
  <si>
    <t>X3</t>
  </si>
  <si>
    <t>Defender 110</t>
  </si>
  <si>
    <t>g/mhevg/mhevd/phevg</t>
  </si>
  <si>
    <t>Kodiaq</t>
  </si>
  <si>
    <t>EQC</t>
  </si>
  <si>
    <t>Tayron</t>
  </si>
  <si>
    <t>Q6 e-tron</t>
  </si>
  <si>
    <t>Macan Electric</t>
  </si>
  <si>
    <t>Seal U</t>
  </si>
  <si>
    <t>Model Y</t>
  </si>
  <si>
    <t>5008</t>
  </si>
  <si>
    <t>Range Rover Velar</t>
  </si>
  <si>
    <t>mhevd</t>
  </si>
  <si>
    <t>RZ</t>
  </si>
  <si>
    <t>Bronco</t>
  </si>
  <si>
    <t>Sorento</t>
  </si>
  <si>
    <t>Clase G</t>
  </si>
  <si>
    <t>Santa Fe</t>
  </si>
  <si>
    <t>Grecale</t>
  </si>
  <si>
    <t>Rexton</t>
  </si>
  <si>
    <t>Outback</t>
  </si>
  <si>
    <t>Wrangler</t>
  </si>
  <si>
    <t>RX</t>
  </si>
  <si>
    <t>3</t>
  </si>
  <si>
    <t>Touareg</t>
  </si>
  <si>
    <t>Grand Cherokee</t>
  </si>
  <si>
    <t>Q8 e-tron</t>
  </si>
  <si>
    <t>Land Cruiser</t>
  </si>
  <si>
    <t>GLE</t>
  </si>
  <si>
    <t>Range Rover Sport</t>
  </si>
  <si>
    <t>Highlander</t>
  </si>
  <si>
    <t>XC-90</t>
  </si>
  <si>
    <t>iX</t>
  </si>
  <si>
    <t>Discovery</t>
  </si>
  <si>
    <t>X6</t>
  </si>
  <si>
    <t>Tang</t>
  </si>
  <si>
    <t>CX-80</t>
  </si>
  <si>
    <t>Q8</t>
  </si>
  <si>
    <t>Levante</t>
  </si>
  <si>
    <t>EV9</t>
  </si>
  <si>
    <t>Pick-up</t>
  </si>
  <si>
    <t>L200</t>
  </si>
  <si>
    <t>Isuzu</t>
  </si>
  <si>
    <t>D-Max</t>
  </si>
  <si>
    <t>Hilux</t>
  </si>
  <si>
    <t>Amarok</t>
  </si>
  <si>
    <t>Ranger</t>
  </si>
  <si>
    <t>Raptor</t>
  </si>
  <si>
    <t>Musso</t>
  </si>
  <si>
    <t>Gladiator</t>
  </si>
  <si>
    <t>Furgoneta</t>
  </si>
  <si>
    <t>Tourneo Courier</t>
  </si>
  <si>
    <t>Dobló</t>
  </si>
  <si>
    <t>Berlingo M</t>
  </si>
  <si>
    <t>Combo</t>
  </si>
  <si>
    <t>d/bev</t>
  </si>
  <si>
    <t>Proace City Verso Med</t>
  </si>
  <si>
    <t>d/g/bev</t>
  </si>
  <si>
    <t>Rifter</t>
  </si>
  <si>
    <t>Kangoo</t>
  </si>
  <si>
    <t>Townstar</t>
  </si>
  <si>
    <t>Citan Tourer</t>
  </si>
  <si>
    <t>Caddy</t>
  </si>
  <si>
    <t>Tourneo Connect</t>
  </si>
  <si>
    <t>g/d/phevg</t>
  </si>
  <si>
    <t>Space Tourer XS</t>
  </si>
  <si>
    <t>ID.Buzz</t>
  </si>
  <si>
    <t>Berlingo XL</t>
  </si>
  <si>
    <t>Combo XL</t>
  </si>
  <si>
    <t>Proace City Verso Larga</t>
  </si>
  <si>
    <t>Rifter Larga</t>
  </si>
  <si>
    <t>Caddy Max</t>
  </si>
  <si>
    <t>Grand Tourneo Connect</t>
  </si>
  <si>
    <t>Caravelle Short</t>
  </si>
  <si>
    <t>Grand Kangoo</t>
  </si>
  <si>
    <t>Space Tourer M</t>
  </si>
  <si>
    <t>Ulysse</t>
  </si>
  <si>
    <t>Proace Verso Media</t>
  </si>
  <si>
    <t>Multivan Corta</t>
  </si>
  <si>
    <t>Traveller Standard</t>
  </si>
  <si>
    <t>Zafira</t>
  </si>
  <si>
    <t>d/phevg/bev</t>
  </si>
  <si>
    <t>Traffic Combi</t>
  </si>
  <si>
    <t>Clase V L</t>
  </si>
  <si>
    <t>Clase V M</t>
  </si>
  <si>
    <t>Multivan Larga</t>
  </si>
  <si>
    <t>Caravelle Larga</t>
  </si>
  <si>
    <t>Space Tourer XL</t>
  </si>
  <si>
    <t>Proace Verso Larga</t>
  </si>
  <si>
    <t>Traveller Larga</t>
  </si>
  <si>
    <t>Zafira XL</t>
  </si>
  <si>
    <t>Clase V XL</t>
  </si>
  <si>
    <t>Grand Traffic Combi</t>
  </si>
  <si>
    <t>Tourneo Custom L1 H1</t>
  </si>
  <si>
    <t>Tourneo Custom L2 H1</t>
  </si>
  <si>
    <t>Marca</t>
  </si>
  <si>
    <t>Modelo</t>
  </si>
  <si>
    <t>Child Occupant</t>
  </si>
  <si>
    <t>Vulnerable Road Users</t>
  </si>
  <si>
    <t>Safety Assist</t>
  </si>
  <si>
    <t>Adult Occupant</t>
  </si>
  <si>
    <t>Cooper-e</t>
  </si>
  <si>
    <t>estándar</t>
  </si>
  <si>
    <t>Notas</t>
  </si>
  <si>
    <t>135-190 kW</t>
  </si>
  <si>
    <t>A6 e-tron</t>
  </si>
  <si>
    <t>Basis Estate 4 x 2 LHD</t>
  </si>
  <si>
    <t>todos los A6 e-tron</t>
  </si>
  <si>
    <t>City &amp; Supermini</t>
  </si>
  <si>
    <t>Small family car</t>
  </si>
  <si>
    <t>220CH &amp; 180CH</t>
  </si>
  <si>
    <t>A5</t>
  </si>
  <si>
    <t>Large family car</t>
  </si>
  <si>
    <t>Vale para todos los gasolina, diesel e híbrido enchufable</t>
  </si>
  <si>
    <t>Tested variant</t>
  </si>
  <si>
    <t>A5 Avant TDI</t>
  </si>
  <si>
    <t>Renault 5 E-TECH electric techno comfort, LHD</t>
  </si>
  <si>
    <t>Es el mismo coche que el R5. Dos motorizaciones eléctricas</t>
  </si>
  <si>
    <t>Basis</t>
  </si>
  <si>
    <t>Deepal</t>
  </si>
  <si>
    <t>S07</t>
  </si>
  <si>
    <t>Deepal S07, Base level, LHD</t>
  </si>
  <si>
    <t>Solo hay una variante</t>
  </si>
  <si>
    <t>Large SUV</t>
  </si>
  <si>
    <t>Hyundai Santa Fe HEV AWD, LHD</t>
  </si>
  <si>
    <t>Variantes HEV 4 x 2 y 4 x 4 &amp; PHEV 4 x 4</t>
  </si>
  <si>
    <t>HEV AWD, LHD</t>
  </si>
  <si>
    <t>HEV AWD, LHD Smart Sense</t>
  </si>
  <si>
    <t>Mismo vehículo pero con el paquete de seguridad SmartSense</t>
  </si>
  <si>
    <t>Hyundai Santa Fe HEV AWD, LHD SmartSense</t>
  </si>
  <si>
    <t>Leapmotor</t>
  </si>
  <si>
    <t>C10</t>
  </si>
  <si>
    <t>Style, LHD</t>
  </si>
  <si>
    <t>Vale para el Style y el Design</t>
  </si>
  <si>
    <t>C10 Style</t>
  </si>
  <si>
    <t>Lexus LBX 1.5 hybrid, LHD</t>
  </si>
  <si>
    <t>1.5 hybrid, LHD</t>
  </si>
  <si>
    <t>HEV</t>
  </si>
  <si>
    <t>BEV</t>
  </si>
  <si>
    <t>G/D/PHEV</t>
  </si>
  <si>
    <t>HEV/PHEV</t>
  </si>
  <si>
    <t>Valido para el 4 x 2 y el 4 x 4</t>
  </si>
  <si>
    <t>LHD</t>
  </si>
  <si>
    <t>eTERRON 9</t>
  </si>
  <si>
    <t>Maxus</t>
  </si>
  <si>
    <t>Pickup Truck</t>
  </si>
  <si>
    <t>Luxury 102kWh 4 x 4</t>
  </si>
  <si>
    <t>Standard</t>
  </si>
  <si>
    <t>ZS Hybrid</t>
  </si>
  <si>
    <t>MINI</t>
  </si>
  <si>
    <t>Macan</t>
  </si>
  <si>
    <t>5</t>
  </si>
  <si>
    <t>Capri</t>
  </si>
  <si>
    <t>Impreza</t>
  </si>
  <si>
    <t>XPENG</t>
  </si>
  <si>
    <t>G6</t>
  </si>
  <si>
    <t>E-Class</t>
  </si>
  <si>
    <t>Passat</t>
  </si>
  <si>
    <t>Škoda</t>
  </si>
  <si>
    <t>Tourneo Custom</t>
  </si>
  <si>
    <t>Safety Pack</t>
  </si>
  <si>
    <t>MIFA 7</t>
  </si>
  <si>
    <t>Tiguan</t>
  </si>
  <si>
    <t>ZEEKR</t>
  </si>
  <si>
    <t>X</t>
  </si>
  <si>
    <t>NIO</t>
  </si>
  <si>
    <t>EL6</t>
  </si>
  <si>
    <t>5 Series</t>
  </si>
  <si>
    <t>SEAL-U</t>
  </si>
  <si>
    <t>TANG</t>
  </si>
  <si>
    <t>KONA</t>
  </si>
  <si>
    <t>EQE SUV</t>
  </si>
  <si>
    <t>smart</t>
  </si>
  <si>
    <t>VinFast</t>
  </si>
  <si>
    <t>VF8</t>
  </si>
  <si>
    <t>G9</t>
  </si>
  <si>
    <t>DOLPHIN</t>
  </si>
  <si>
    <t>SEAL</t>
  </si>
  <si>
    <t>P7</t>
  </si>
  <si>
    <t>EL7</t>
  </si>
  <si>
    <t>ET5</t>
  </si>
  <si>
    <t>D/PHEV</t>
  </si>
  <si>
    <t>vale para los dos</t>
  </si>
  <si>
    <t>2.5L PHEV</t>
  </si>
  <si>
    <t>Hybrid 1.5L, LHD</t>
  </si>
  <si>
    <t>solo una variante</t>
  </si>
  <si>
    <t>6 variantes: 3 gasolina, 1 diesel, 2 eléctricos</t>
  </si>
  <si>
    <t>G/D/BEV</t>
  </si>
  <si>
    <t>electric Countryman SE ALL4</t>
  </si>
  <si>
    <t>4 variantes eléctricas con tracción 4 x 2 y 4 x 4</t>
  </si>
  <si>
    <t>Macan 4 electric</t>
  </si>
  <si>
    <t>E-Tech EV52 150 HP Comfort Range</t>
  </si>
  <si>
    <t>3 variantes con distintas potencias y rangos</t>
  </si>
  <si>
    <t>2.0 Petrol Hybrid</t>
  </si>
  <si>
    <t>3 variantes híbridas de gasolina</t>
  </si>
  <si>
    <t>3 variantes eléctricas 4 x 2 y 4 x 4</t>
  </si>
  <si>
    <t>E400V18 electric Core Plus Ultra 4 x 2</t>
  </si>
  <si>
    <t>3 variantes eléctricas distintas potencias y tracción</t>
  </si>
  <si>
    <t>250kW electric 4 x 4</t>
  </si>
  <si>
    <t>Small MPV</t>
  </si>
  <si>
    <t>Capri, LHD</t>
  </si>
  <si>
    <t>No especifica variantes</t>
  </si>
  <si>
    <t>1.0 petrol Tourneo Courier</t>
  </si>
  <si>
    <t>G</t>
  </si>
  <si>
    <t>MG HS 1.5T, LHD</t>
  </si>
  <si>
    <t>3 variantes gasolina (una de ellas mhev) y otra de GLP</t>
  </si>
  <si>
    <t>G/GLP/MHEV</t>
  </si>
  <si>
    <t>Renault Captur 1.6 HEV</t>
  </si>
  <si>
    <t>8 variantes eléctricas con tracción 4 x 2 o 4 x 4 y distintos acabados</t>
  </si>
  <si>
    <t>Q6 SUV e-tron quattro</t>
  </si>
  <si>
    <t>2 variantes eléctricas 4 x 2 y 4 x 4</t>
  </si>
  <si>
    <t>Explorer 4 x 2</t>
  </si>
  <si>
    <t>all Jeep Avenger EVs from VIN ZACNJAC57RJK86260. No se dice nada. Tampoco en el report</t>
  </si>
  <si>
    <t>Captur II</t>
  </si>
  <si>
    <t>Renault Symbioz, E-Tech, LHD</t>
  </si>
  <si>
    <t>No se sabe qué es lo que han ensayado</t>
  </si>
  <si>
    <t>E-TECH HR16 DEg3 hybrid 67kW</t>
  </si>
  <si>
    <t>Solo una variante 4 x 2</t>
  </si>
  <si>
    <t>petrol hybrid 2.0i-S ESR</t>
  </si>
  <si>
    <t>Dos niveles de acabados ESR y ESL ambos híbridos</t>
  </si>
  <si>
    <t>Subaru Crosstrek 2.0 hybrid, LHD</t>
  </si>
  <si>
    <t>2.0l petrol hybrid 2.0i-S ESR</t>
  </si>
  <si>
    <t>XPENG G6 Long Range, LHD</t>
  </si>
  <si>
    <t>3 variantes 1 estándar range 4 x 2 y dos long range 4 x 2 y 4 x 4</t>
  </si>
  <si>
    <t>para luxury 4 x 2 y 4 x 4 y para premium 4 x 4</t>
  </si>
  <si>
    <t>Dacia Duster 1.6 hybrid, LHD</t>
  </si>
  <si>
    <t>4 variantes 1 PLG, 2 gasolina 1.3 (4 x 2 y 4 x 4) y 1 HEV 1.6 4 x 2</t>
  </si>
  <si>
    <t>PLG/G/HEV</t>
  </si>
  <si>
    <t>E 300 de</t>
  </si>
  <si>
    <t>Executive Car</t>
  </si>
  <si>
    <t>Múltiples variantes (20) salón y estate, gasolina, diesel e híbridos con tracción 4 x 2 o 4 x 4</t>
  </si>
  <si>
    <t>G/D/HEV</t>
  </si>
  <si>
    <t>1.2L GL+, LHD</t>
  </si>
  <si>
    <t>3 acabados, cada uno con variante 4 x 2 y 4 x 4. Todos mismo motor gasolina</t>
  </si>
  <si>
    <t>2.0 TDI "Business", LHD</t>
  </si>
  <si>
    <t>6 variantes gasolina, diesel y PHEV</t>
  </si>
  <si>
    <t>2.0 TDI "Selection", LHD</t>
  </si>
  <si>
    <t>5 variantes gasolina, diesel y PHEV</t>
  </si>
  <si>
    <t>G/D/mHEV/PHEV</t>
  </si>
  <si>
    <t>VW Passat 2.0 TDI "Business", LHD</t>
  </si>
  <si>
    <t>8 variantes gasolina, diesel y PHEV</t>
  </si>
  <si>
    <t>2.0 Ecoblue 'Titanium', LHD</t>
  </si>
  <si>
    <t>2 variantes: 4 x 2 y  4 x 4</t>
  </si>
  <si>
    <t>Business and Family Van</t>
  </si>
  <si>
    <t>Business &amp; Family Van</t>
  </si>
  <si>
    <t>D</t>
  </si>
  <si>
    <t>2.0 Ecoblue 'Titanium', LHD + Driver Assistance Pack with Navigation</t>
  </si>
  <si>
    <t>4 variantes por acabado y capacidad de batería</t>
  </si>
  <si>
    <t>Large MPV</t>
  </si>
  <si>
    <t>Premium 90kWh</t>
  </si>
  <si>
    <t>2.0 TDI 'Life', LHD</t>
  </si>
  <si>
    <t>5 variantes gasolina, diesel, mHEV y PHEV</t>
  </si>
  <si>
    <t>001</t>
  </si>
  <si>
    <t>Long Range 4 x 2</t>
  </si>
  <si>
    <t>3 acabados, tracción y rango</t>
  </si>
  <si>
    <t>Long Range RWD, LHD</t>
  </si>
  <si>
    <t>No especifica nada más</t>
  </si>
  <si>
    <t>4 variantes 3 gasolina híbridas con distintos niveles de acabado y tracción y otra 4 x 2 PHEV</t>
  </si>
  <si>
    <t>2.0 Hybrid ADVANCE</t>
  </si>
  <si>
    <t>Con Honda Sensing 360</t>
  </si>
  <si>
    <t>mismas variantes</t>
  </si>
  <si>
    <t>2 variantes por potencia y capacidad de batería</t>
  </si>
  <si>
    <t>75 kWh electric</t>
  </si>
  <si>
    <t>3 variantes motores 1.8 y 2.0 tracción 4 x 2 y 4 x 4</t>
  </si>
  <si>
    <t>Hybrid 140</t>
  </si>
  <si>
    <t>i5 eDrive40 (BEV)</t>
  </si>
  <si>
    <t>G/D/HEV/BEV</t>
  </si>
  <si>
    <t>8 motorizaciones, varios acabados y sistemas de tracción por cada una y versiones berlina y estate para cada una</t>
  </si>
  <si>
    <t>PHEV/BEV</t>
  </si>
  <si>
    <t>Varias combinaciones BEV y PHEV con tracción 4 x 2 o 4 x 4</t>
  </si>
  <si>
    <t> 'Flagship',LHD</t>
  </si>
  <si>
    <t>Design</t>
  </si>
  <si>
    <t>ElectricDesign</t>
  </si>
  <si>
    <t>Solo una variante 4 x 4</t>
  </si>
  <si>
    <t>2.0 hybrid 'ADVANCE', LHD</t>
  </si>
  <si>
    <t>Un motor, tres acabados</t>
  </si>
  <si>
    <t>3 gasolina, 1 híbrido, 1 mild hybrid, 2 eléctricos</t>
  </si>
  <si>
    <t>G/mHEV/HEV/BEV</t>
  </si>
  <si>
    <t>GLS electric standard range, LHD</t>
  </si>
  <si>
    <t>1 motor / 2 motores</t>
  </si>
  <si>
    <t>electric 160kW+160kW EV9 AWD</t>
  </si>
  <si>
    <t>EQE SUV 350 4MATIC</t>
  </si>
  <si>
    <t>Mercedes-EQ</t>
  </si>
  <si>
    <t>Pro+ 4x2, LHD</t>
  </si>
  <si>
    <t>Tres variantes con 2 alternativas de acabado cada una</t>
  </si>
  <si>
    <t>VF8 PLUS</t>
  </si>
  <si>
    <t>2 variantes con tracción integral y distintas potencias</t>
  </si>
  <si>
    <t>150 kW 77 kWh electric Pro</t>
  </si>
  <si>
    <t>7 variantes: sedan, estate, tracción 4 x 2 o 4 x 4, potencias motor y capacidad batería</t>
  </si>
  <si>
    <t>3 variantes capacidad de batería y tracción</t>
  </si>
  <si>
    <t>RWD Standard Range</t>
  </si>
  <si>
    <t>4 niveles de acabado</t>
  </si>
  <si>
    <t>2 versiones 4 x 2 y 4 x 4, cada una con un acabado distinto</t>
  </si>
  <si>
    <t>3 variantes con tracción 4 x 2 o 4 x 4</t>
  </si>
  <si>
    <t>80kW electric, LHD / RWD Long Range</t>
  </si>
  <si>
    <t>71kWh battery electric (RZ 450e)</t>
  </si>
  <si>
    <t>1 versión</t>
  </si>
  <si>
    <t>2 variantes por capacidad de la batería</t>
  </si>
  <si>
    <t>75 kWh electric 4 x 4</t>
  </si>
  <si>
    <t>2 versiones (berlina/estate) con 2 baterías (75-100 kWh)</t>
  </si>
  <si>
    <t>4 door saloon 75 kWh</t>
  </si>
  <si>
    <t>Average Score</t>
  </si>
  <si>
    <t>Clean Air</t>
  </si>
  <si>
    <t>Greenhouse gas</t>
  </si>
  <si>
    <t>Energy Efficiency</t>
  </si>
  <si>
    <t>Opel/Vauxhall</t>
  </si>
  <si>
    <t>ATTO 2</t>
  </si>
  <si>
    <t>MAZDA</t>
  </si>
  <si>
    <t>MX-30</t>
  </si>
  <si>
    <t>MercedesBenz</t>
  </si>
  <si>
    <t>CHERY</t>
  </si>
  <si>
    <t>OMODA5</t>
  </si>
  <si>
    <t>SEAL U</t>
  </si>
  <si>
    <t>FIAT</t>
  </si>
  <si>
    <t>Doblo</t>
  </si>
  <si>
    <t>Enyaq</t>
  </si>
  <si>
    <t>IONIQ 6</t>
  </si>
  <si>
    <t>2 Series Active Tourer</t>
  </si>
  <si>
    <t>X1</t>
  </si>
  <si>
    <t>ATTO 3</t>
  </si>
  <si>
    <t>GWM</t>
  </si>
  <si>
    <t>ORA 03 (Funky Cat)</t>
  </si>
  <si>
    <t>A6</t>
  </si>
  <si>
    <t>2 Series Coupé</t>
  </si>
  <si>
    <t>Sandero Stepway</t>
  </si>
  <si>
    <t>C-Class</t>
  </si>
  <si>
    <t>XC40</t>
  </si>
  <si>
    <t>STARIA</t>
  </si>
  <si>
    <t>T-Class</t>
  </si>
  <si>
    <t>Range Rover</t>
  </si>
  <si>
    <t>IONIQ 5</t>
  </si>
  <si>
    <t>ET7</t>
  </si>
  <si>
    <t>Megane E-Tech</t>
  </si>
  <si>
    <t>TUCSON</t>
  </si>
  <si>
    <t>SEAT</t>
  </si>
  <si>
    <t>Lyn &amp; Co</t>
  </si>
  <si>
    <t>Genesis</t>
  </si>
  <si>
    <t>G70</t>
  </si>
  <si>
    <t>Q4 e-Tron</t>
  </si>
  <si>
    <t>BAYON</t>
  </si>
  <si>
    <t>GV70</t>
  </si>
  <si>
    <t>308</t>
  </si>
  <si>
    <t>4</t>
  </si>
  <si>
    <t>Versión</t>
  </si>
  <si>
    <t>Fecha</t>
  </si>
  <si>
    <t>electric FWD automatic</t>
  </si>
  <si>
    <t>propusion</t>
  </si>
  <si>
    <t>REAR-WHEEL DRIVE ELECTRIC RWD AUTOMATIC</t>
  </si>
  <si>
    <t>Large Family Car</t>
  </si>
  <si>
    <t>130 kW electric FWD automatic</t>
  </si>
  <si>
    <t>e-SKYACTIV R-EV plug-in hybrid FWD automatic</t>
  </si>
  <si>
    <t>PHEV</t>
  </si>
  <si>
    <t>Small Family Car</t>
  </si>
  <si>
    <t>250e plug-in hybrid FWD automatic</t>
  </si>
  <si>
    <t>TCe 130 petrol FWD manual</t>
  </si>
  <si>
    <t>1.6 l petrol FWD automatic</t>
  </si>
  <si>
    <t>Summit electric FWD automatic</t>
  </si>
  <si>
    <t>RS101 electric FWD automatic</t>
  </si>
  <si>
    <t>2.0 i-MMD e:HEV hybrid FWD automatic</t>
  </si>
  <si>
    <t>220d 4MATIC diesel AWD automatic</t>
  </si>
  <si>
    <t>1.5 TSI petrol FWD automatic</t>
  </si>
  <si>
    <t>S ALL4 petrol AWD automatic</t>
  </si>
  <si>
    <t>2.0 e-BOXER hybrid AWD cvt</t>
  </si>
  <si>
    <t>150 kW electric FWD automatic</t>
  </si>
  <si>
    <t>239 kW electric AWD automatic</t>
  </si>
  <si>
    <t>Design electric FWD automatic</t>
  </si>
  <si>
    <t>1.5 BlueHDI diesel FWD automatic</t>
  </si>
  <si>
    <t>1.0 TSI petrol FWD automatic</t>
  </si>
  <si>
    <t>Sportswagon 1.5 T-GDi petrol FWD automatic</t>
  </si>
  <si>
    <t>e:HEV 2.0 i-MMD hybrid AWD automatic</t>
  </si>
  <si>
    <t>Combi 1.5 BlueHDi diesel FWD manual</t>
  </si>
  <si>
    <t>Long Range electric RWD automatic</t>
  </si>
  <si>
    <t>Pro 210 kW electric RWD automatic</t>
  </si>
  <si>
    <t>85 L&amp;K electric RWD automatic</t>
  </si>
  <si>
    <t>1.5 CDTI diesel FWD automatic</t>
  </si>
  <si>
    <t>2.0 145 kW hybrid FWD cvt</t>
  </si>
  <si>
    <t>First Edition electric AWD automatic</t>
  </si>
  <si>
    <t>eDrive35 electric RWD automatic</t>
  </si>
  <si>
    <t>Comfort electric RWD automatic</t>
  </si>
  <si>
    <t>Pro+ electric RWD automatic</t>
  </si>
  <si>
    <t>220i petrol FWD automatic</t>
  </si>
  <si>
    <t>E1L electric RWD automatic</t>
  </si>
  <si>
    <t>Dual Motor electric AWD automatic</t>
  </si>
  <si>
    <t>Long Range 61 kWh electric FWD automatic</t>
  </si>
  <si>
    <t>E-Tech EV45 electric FWD automatic</t>
  </si>
  <si>
    <t>E-SKYACTIV plug-in hybrid AWD automatic</t>
  </si>
  <si>
    <t>sDrive 18i petrol FWD automatic</t>
  </si>
  <si>
    <t>1.5 VGT 48V-Hybrid petrol FWD automatic</t>
  </si>
  <si>
    <t>1.3 DI-T DCT petrol FWD automatic</t>
  </si>
  <si>
    <t>M2F1C 60 kWh electric FWD automatic</t>
  </si>
  <si>
    <t>ME2 63 kWh electric FWD automatic</t>
  </si>
  <si>
    <t>1.0 TSI petrol FWD manual</t>
  </si>
  <si>
    <t>Extreme hybrid FWD automatic</t>
  </si>
  <si>
    <t>300d 4MATIC diesel AWD automatic</t>
  </si>
  <si>
    <t>mHEV-D</t>
  </si>
  <si>
    <t>mHEV-G</t>
  </si>
  <si>
    <t>50 TDI quattro diesel AWD automatic</t>
  </si>
  <si>
    <t>Raptor 3.0 EcoBoost petrol 4x4 automatic</t>
  </si>
  <si>
    <t>Pro Performance electric RWD automatic</t>
  </si>
  <si>
    <t>220d diesel RWD automatic</t>
  </si>
  <si>
    <t>TCe 90 petrol FWD manual</t>
  </si>
  <si>
    <t>C180 petrol RWD automatic</t>
  </si>
  <si>
    <t>1.5 EcoBoost petrol FWD automatic</t>
  </si>
  <si>
    <t>87 kWh electric FWD automatic</t>
  </si>
  <si>
    <t>E-Tech Full Hybrid 200 hybrid FWD automatic</t>
  </si>
  <si>
    <t>1.5 TSI OPF petrol FWD manual</t>
  </si>
  <si>
    <t>B3 petrol FWD automatic</t>
  </si>
  <si>
    <t>ST-Line Vignale 1.0 Mild Hybrid petrol FWD automatic</t>
  </si>
  <si>
    <t>2.2 CRDi diesel AWD automatic</t>
  </si>
  <si>
    <t>1.5 diesel FWD manual</t>
  </si>
  <si>
    <t>GT-line petrol FWD manual</t>
  </si>
  <si>
    <t>1.0 EcoBoost Flexifuel Ethanol Mode E85 FWD manual</t>
  </si>
  <si>
    <t>1.0 EcoBoost Flexifuel Petrol Mode E10 FWD manual</t>
  </si>
  <si>
    <t>Etanol</t>
  </si>
  <si>
    <t>1.0 EcoBoost Mild Hybrid petrol FWD manual</t>
  </si>
  <si>
    <t>T180 96kW petrol FWD automatic</t>
  </si>
  <si>
    <t>1.6 T-GDi 48V petrol AWD automatic</t>
  </si>
  <si>
    <t>D350 diesel AWD automatic</t>
  </si>
  <si>
    <t>58 kWh electric RWD automatic</t>
  </si>
  <si>
    <t>1.5 hybrid FWD CVT</t>
  </si>
  <si>
    <t>PureTech 225 petrol FWD automatic</t>
  </si>
  <si>
    <t>Standard Range Plus electric RWD automatic</t>
  </si>
  <si>
    <t>480 kW electric AWD automatic</t>
  </si>
  <si>
    <t>EV60, 160 kW electric FWD automatic</t>
  </si>
  <si>
    <t>1.0 MPI petrol FWD manual</t>
  </si>
  <si>
    <t>1.3 DIG-T 158 MT Mild Hybrid petrol FWD cvt</t>
  </si>
  <si>
    <t>HEV 1.6 T-GDI hybrid FWD automatic</t>
  </si>
  <si>
    <t>170 kW e-Boost electric RWD automatic</t>
  </si>
  <si>
    <t>Hybrid 1.0 GSE petrol FWD manual</t>
  </si>
  <si>
    <t>1.0 TSI 81 kW petrol FWD automatic</t>
  </si>
  <si>
    <t>33 kW electric FWD automatic</t>
  </si>
  <si>
    <t>53 kW petrol FWD manual</t>
  </si>
  <si>
    <t>192 kW plug-in hybrid FWD automatic</t>
  </si>
  <si>
    <t>1.5 i-MMD hybrid FWD cvt</t>
  </si>
  <si>
    <t>Shooting Brake 2.2 diesel RWD automatic</t>
  </si>
  <si>
    <t>2.5i Lineartronic petrol AWD cvt</t>
  </si>
  <si>
    <t>Sportback 50 quattro electric AWD automatic</t>
  </si>
  <si>
    <t>1.0 T-GDI 48V petrol FWD automatic</t>
  </si>
  <si>
    <t>1.5 TSI petrol FWD manual</t>
  </si>
  <si>
    <t>1.2 PureTech 130 petrol FWD automatic</t>
  </si>
  <si>
    <t>2.5 TGDI petrol AWD automatic</t>
  </si>
  <si>
    <t>Vehículo</t>
  </si>
  <si>
    <t>Puntuación</t>
  </si>
  <si>
    <t>Autonomia en modo eléctrico</t>
  </si>
  <si>
    <t>Declarada</t>
  </si>
  <si>
    <t>Media</t>
  </si>
  <si>
    <t>408</t>
  </si>
  <si>
    <t>508</t>
  </si>
  <si>
    <t>Precio</t>
  </si>
  <si>
    <t>g/mhevg/phevg</t>
  </si>
  <si>
    <t>Min</t>
  </si>
  <si>
    <t>Max</t>
  </si>
  <si>
    <t>Moda</t>
  </si>
  <si>
    <t>Consumo
l/100 km</t>
  </si>
  <si>
    <t>Autonomía
(km)</t>
  </si>
  <si>
    <t>MMTA</t>
  </si>
  <si>
    <t>Potencia Max
(kW)</t>
  </si>
  <si>
    <t>Par Motor
(Nm)</t>
  </si>
  <si>
    <t>MOM (exc. Cond)</t>
  </si>
  <si>
    <t>Consumo</t>
  </si>
  <si>
    <t>kWh/100 km</t>
  </si>
  <si>
    <t>Autonomía (km)</t>
  </si>
  <si>
    <t>eléctrico</t>
  </si>
  <si>
    <t>combustible</t>
  </si>
  <si>
    <t>combinado</t>
  </si>
  <si>
    <t>Depósito (l)</t>
  </si>
  <si>
    <t>Potencia Max (kW)</t>
  </si>
  <si>
    <t>térmico</t>
  </si>
  <si>
    <t>Par Motor (Nm)</t>
  </si>
  <si>
    <t>Combinado</t>
  </si>
  <si>
    <t>Combinado CEE</t>
  </si>
  <si>
    <t>A3</t>
  </si>
  <si>
    <t>l/100 km (WLTP)</t>
  </si>
  <si>
    <t>l/100 km (combinado)</t>
  </si>
  <si>
    <t>N m = 1,3581*lb ft</t>
  </si>
  <si>
    <t>l/100km = 282,5413/mpg</t>
  </si>
  <si>
    <t>Rank A</t>
  </si>
  <si>
    <t>Rank B</t>
  </si>
  <si>
    <t>Rank C</t>
  </si>
  <si>
    <t>Rank D</t>
  </si>
  <si>
    <t>A-B</t>
  </si>
  <si>
    <t>A-C</t>
  </si>
  <si>
    <t>A-D</t>
  </si>
  <si>
    <t>B-C</t>
  </si>
  <si>
    <t>B-D</t>
  </si>
  <si>
    <t>C-D</t>
  </si>
  <si>
    <t>Pearson</t>
  </si>
  <si>
    <t>Spearman</t>
  </si>
  <si>
    <t>Sum</t>
  </si>
  <si>
    <t>e-SKYACTIV D diesel AWD automatic</t>
  </si>
  <si>
    <t>Sealion 7</t>
  </si>
  <si>
    <t>600e</t>
  </si>
  <si>
    <t>Cooper E</t>
  </si>
  <si>
    <t>ë-C3</t>
  </si>
  <si>
    <t>EQE 350+</t>
  </si>
  <si>
    <t>1 Series</t>
  </si>
  <si>
    <t>60/63 e-Boost 170 kW electric RWD automatic</t>
  </si>
  <si>
    <t>sDrive20i M Sport petrol FWD automatic</t>
  </si>
  <si>
    <t>520i M Sport petrol RWD automatic</t>
  </si>
  <si>
    <t>Extreme 65 electric FWD automatic</t>
  </si>
  <si>
    <t>Vertex electric FWD automatic</t>
  </si>
  <si>
    <t>Pure 125 kW Business electric RWD automatic</t>
  </si>
  <si>
    <t>1.0 MPI Reference XL petrol FWD manual</t>
  </si>
  <si>
    <t>Red electric FWD automatic</t>
  </si>
  <si>
    <t>Classic electric FWD automatic</t>
  </si>
  <si>
    <t>Max electric FWD automatic</t>
  </si>
  <si>
    <t>Single Motor Extended Range Ultra electric RWD automatic</t>
  </si>
  <si>
    <t>AMG-Line electric RWD automatic</t>
  </si>
  <si>
    <t>1.0 T-GDI petrol FWD automatic</t>
  </si>
  <si>
    <t>120 M Sport petrol FWD automatic</t>
  </si>
  <si>
    <t>GT-line electric AWD automatic</t>
  </si>
  <si>
    <t>E-Tech 200 Esprit Alpine hybrid FWD automatic</t>
  </si>
  <si>
    <t>1.5 eTSI Business petrol FWD automatic</t>
  </si>
  <si>
    <t>e-Skyactiv G140 petrol FWD automatic</t>
  </si>
  <si>
    <t>48V battery</t>
  </si>
  <si>
    <t>City and Supermini</t>
  </si>
  <si>
    <t>Mean</t>
  </si>
  <si>
    <t>(A-B)^2</t>
  </si>
  <si>
    <t>(A-C)^2</t>
  </si>
  <si>
    <t>(B-C)^2</t>
  </si>
  <si>
    <t>Ranks</t>
  </si>
  <si>
    <t>Squared differences</t>
  </si>
  <si>
    <t>EBRO</t>
  </si>
  <si>
    <t>EXLANTIX</t>
  </si>
  <si>
    <t>GEELY</t>
  </si>
  <si>
    <t>CUPRA</t>
  </si>
  <si>
    <t>Hongqi</t>
  </si>
  <si>
    <t>Lucid</t>
  </si>
  <si>
    <t>Cadillac</t>
  </si>
  <si>
    <t>Dongfeng</t>
  </si>
  <si>
    <t>IM</t>
  </si>
  <si>
    <t>Togg</t>
  </si>
  <si>
    <t>AION</t>
  </si>
  <si>
    <t>firefly</t>
  </si>
  <si>
    <t>Lynk</t>
  </si>
  <si>
    <t>OMODA</t>
  </si>
  <si>
    <t>Voyah</t>
  </si>
  <si>
    <t>JAECOO</t>
  </si>
  <si>
    <t xml:space="preserve">A390   </t>
  </si>
  <si>
    <t xml:space="preserve">TIGGO 4  </t>
  </si>
  <si>
    <t xml:space="preserve">S05   </t>
  </si>
  <si>
    <t xml:space="preserve">s400   </t>
  </si>
  <si>
    <t xml:space="preserve">ET   </t>
  </si>
  <si>
    <t xml:space="preserve">STARRAY EM-i  </t>
  </si>
  <si>
    <t xml:space="preserve">NEXO   </t>
  </si>
  <si>
    <t xml:space="preserve">Compass   </t>
  </si>
  <si>
    <t xml:space="preserve">EV4   </t>
  </si>
  <si>
    <t xml:space="preserve">PV5 Passenger  </t>
  </si>
  <si>
    <t xml:space="preserve">CX-5   </t>
  </si>
  <si>
    <t xml:space="preserve">CLA   </t>
  </si>
  <si>
    <t xml:space="preserve">MG4 EV URBAN </t>
  </si>
  <si>
    <t xml:space="preserve">Eclipse Cross  </t>
  </si>
  <si>
    <t xml:space="preserve">Cayenne   </t>
  </si>
  <si>
    <t xml:space="preserve">Clio   </t>
  </si>
  <si>
    <t xml:space="preserve">Aygo X  </t>
  </si>
  <si>
    <t xml:space="preserve">Yaris   </t>
  </si>
  <si>
    <t xml:space="preserve">T-Roc   </t>
  </si>
  <si>
    <t xml:space="preserve">A3   </t>
  </si>
  <si>
    <t>2 Series Gran Coupé</t>
  </si>
  <si>
    <t xml:space="preserve">SEAL 6  </t>
  </si>
  <si>
    <t xml:space="preserve">Formentor   </t>
  </si>
  <si>
    <t xml:space="preserve">Leon   </t>
  </si>
  <si>
    <t xml:space="preserve">EHS7   </t>
  </si>
  <si>
    <t xml:space="preserve">EV5   </t>
  </si>
  <si>
    <t xml:space="preserve">B10   </t>
  </si>
  <si>
    <t xml:space="preserve">Gravity   </t>
  </si>
  <si>
    <t xml:space="preserve">CLE Coupé  </t>
  </si>
  <si>
    <t xml:space="preserve">MGS9 PHEV  </t>
  </si>
  <si>
    <t xml:space="preserve">Qashqai   </t>
  </si>
  <si>
    <t xml:space="preserve">LEON   </t>
  </si>
  <si>
    <t xml:space="preserve">Solterra   </t>
  </si>
  <si>
    <t xml:space="preserve">Model Y  </t>
  </si>
  <si>
    <t xml:space="preserve">bZ4X   </t>
  </si>
  <si>
    <t xml:space="preserve">Yaris Cross  </t>
  </si>
  <si>
    <t xml:space="preserve">EX90   </t>
  </si>
  <si>
    <t xml:space="preserve">Caddy   </t>
  </si>
  <si>
    <t xml:space="preserve">ID.3   </t>
  </si>
  <si>
    <t xml:space="preserve">Multivan   </t>
  </si>
  <si>
    <t xml:space="preserve">Elroq   </t>
  </si>
  <si>
    <t xml:space="preserve">Enyaq   </t>
  </si>
  <si>
    <t xml:space="preserve">Q3   </t>
  </si>
  <si>
    <t xml:space="preserve">X3   </t>
  </si>
  <si>
    <t xml:space="preserve">OPTIQ   </t>
  </si>
  <si>
    <t xml:space="preserve">TIGGO 7 (reassessment) </t>
  </si>
  <si>
    <t xml:space="preserve">TIGGO 8 (reassessment) </t>
  </si>
  <si>
    <t xml:space="preserve">BORN   </t>
  </si>
  <si>
    <t xml:space="preserve">Box   </t>
  </si>
  <si>
    <t xml:space="preserve">N°8   </t>
  </si>
  <si>
    <t xml:space="preserve">s700   </t>
  </si>
  <si>
    <t xml:space="preserve">s800   </t>
  </si>
  <si>
    <t xml:space="preserve">EHS5   </t>
  </si>
  <si>
    <t xml:space="preserve">IM5   </t>
  </si>
  <si>
    <t xml:space="preserve">6e   </t>
  </si>
  <si>
    <t xml:space="preserve">MGS6 EV  </t>
  </si>
  <si>
    <t xml:space="preserve">Golf   </t>
  </si>
  <si>
    <t xml:space="preserve">ID.4   </t>
  </si>
  <si>
    <t xml:space="preserve">T-Cross   </t>
  </si>
  <si>
    <t xml:space="preserve">Octavia   </t>
  </si>
  <si>
    <t xml:space="preserve">IONIQ 9  </t>
  </si>
  <si>
    <t xml:space="preserve">3   </t>
  </si>
  <si>
    <t xml:space="preserve">T10X   </t>
  </si>
  <si>
    <t xml:space="preserve">V   </t>
  </si>
  <si>
    <t xml:space="preserve">Q4 e-tron  </t>
  </si>
  <si>
    <t xml:space="preserve">1 Series  </t>
  </si>
  <si>
    <t xml:space="preserve">DOLPHIN SURF  </t>
  </si>
  <si>
    <t xml:space="preserve">C5 Aircross  </t>
  </si>
  <si>
    <t xml:space="preserve">ES   </t>
  </si>
  <si>
    <t xml:space="preserve">firefly   </t>
  </si>
  <si>
    <t xml:space="preserve">IM6   </t>
  </si>
  <si>
    <t xml:space="preserve">&amp; Co 08 </t>
  </si>
  <si>
    <t xml:space="preserve">Aceman   </t>
  </si>
  <si>
    <t xml:space="preserve">Cooper   </t>
  </si>
  <si>
    <t xml:space="preserve">#5   </t>
  </si>
  <si>
    <t xml:space="preserve">e VITARA  </t>
  </si>
  <si>
    <t xml:space="preserve">T10F   </t>
  </si>
  <si>
    <t xml:space="preserve">Urban Cruiser  </t>
  </si>
  <si>
    <t xml:space="preserve">ID.Buzz   </t>
  </si>
  <si>
    <t xml:space="preserve">TIGGO 7  </t>
  </si>
  <si>
    <t xml:space="preserve">TIGGO 8  </t>
  </si>
  <si>
    <t xml:space="preserve">Tourneo Courier  </t>
  </si>
  <si>
    <t xml:space="preserve">INSTER   </t>
  </si>
  <si>
    <t xml:space="preserve">9   </t>
  </si>
  <si>
    <t xml:space="preserve">4   </t>
  </si>
  <si>
    <t xml:space="preserve">7X   </t>
  </si>
  <si>
    <t xml:space="preserve">Q5   </t>
  </si>
  <si>
    <t xml:space="preserve">Tourneo Custom  </t>
  </si>
  <si>
    <t xml:space="preserve">EV3   </t>
  </si>
  <si>
    <t xml:space="preserve">MGS5 EV  </t>
  </si>
  <si>
    <t xml:space="preserve">Grandland   </t>
  </si>
  <si>
    <t xml:space="preserve">3008   </t>
  </si>
  <si>
    <t xml:space="preserve">5008   </t>
  </si>
  <si>
    <t xml:space="preserve">Model 3  </t>
  </si>
  <si>
    <t xml:space="preserve">COURAGE   </t>
  </si>
  <si>
    <t xml:space="preserve">Caravelle   </t>
  </si>
  <si>
    <t xml:space="preserve">Tayron   </t>
  </si>
  <si>
    <t xml:space="preserve">TERRAMAR   </t>
  </si>
  <si>
    <t xml:space="preserve">SEALION 7  </t>
  </si>
  <si>
    <t xml:space="preserve">EX5   </t>
  </si>
  <si>
    <t xml:space="preserve">7 PHEV  </t>
  </si>
  <si>
    <t xml:space="preserve">E-HS9   </t>
  </si>
  <si>
    <t>Lynk &amp; Co</t>
  </si>
  <si>
    <t>02</t>
  </si>
  <si>
    <t>Boot capacity
dm3</t>
  </si>
  <si>
    <t>Make</t>
  </si>
  <si>
    <t>Model</t>
  </si>
  <si>
    <t>Category</t>
  </si>
  <si>
    <t>Year</t>
  </si>
  <si>
    <t>Propulsion type</t>
  </si>
  <si>
    <t>Length</t>
  </si>
  <si>
    <t>Width</t>
  </si>
  <si>
    <t>Height</t>
  </si>
  <si>
    <t>Weight</t>
  </si>
  <si>
    <t>Purchase
price</t>
  </si>
  <si>
    <t>Alpine A390 GT 400ch, LHD</t>
  </si>
  <si>
    <t>all Alpine A390s</t>
  </si>
  <si>
    <t>Equipment</t>
  </si>
  <si>
    <t>Propulsion</t>
  </si>
  <si>
    <t>EBRO s400 HEV, LHD</t>
  </si>
  <si>
    <t>Deepal S05 4 x 2, LHD</t>
  </si>
  <si>
    <t>Premium &amp; Excellence - 4 x 4 - LHD &amp; RHD</t>
  </si>
  <si>
    <t>4 x 2 &amp; 4 x 4; LHD &amp; RHD</t>
  </si>
  <si>
    <t xml:space="preserve">Validity range across variants </t>
  </si>
  <si>
    <t>EBRO s400 HEV Excellence, LHD</t>
  </si>
  <si>
    <t>all TIGGO 4s</t>
  </si>
  <si>
    <t>EXLANTIX ET, 4x2, LHD</t>
  </si>
  <si>
    <t>all EXLANTIX ET (4 x 2 &amp; 4 x 4 - Comfort &amp; Premium &amp; Premium+ - LHD &amp; RHD)</t>
  </si>
  <si>
    <t>GEELY STARRAY EM-i 'Comfort', LHD</t>
  </si>
  <si>
    <t>5 door SUV - Petrol PHEV - Comfort &amp; Techno - 4 x 2 - LHD &amp; RHD</t>
  </si>
  <si>
    <t>Hyundai NEXO, base trim, LHD</t>
  </si>
  <si>
    <t>5 door SUV - Hydrogen Fuel Cell Electric Vehicle	- 4 x 2 - LHD &amp; RHD</t>
  </si>
  <si>
    <t>HFCEV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</si>
</sst>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\-yyyy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2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3" xfId="0" quotePrefix="1" applyBorder="1"/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10" xfId="0" applyBorder="1"/>
    <xf numFmtId="1" fontId="3" fillId="0" borderId="8" xfId="0" applyNumberFormat="1" applyFont="1" applyBorder="1" applyAlignment="1">
      <alignment horizontal="center"/>
    </xf>
    <xf numFmtId="1" fontId="0" fillId="0" borderId="3" xfId="0" applyNumberFormat="1" applyBorder="1"/>
    <xf numFmtId="1" fontId="0" fillId="0" borderId="0" xfId="0" applyNumberFormat="1"/>
    <xf numFmtId="1" fontId="3" fillId="0" borderId="11" xfId="0" applyNumberFormat="1" applyFont="1" applyBorder="1" applyAlignment="1">
      <alignment horizontal="center"/>
    </xf>
    <xf numFmtId="1" fontId="0" fillId="0" borderId="10" xfId="0" applyNumberFormat="1" applyBorder="1"/>
    <xf numFmtId="1" fontId="3" fillId="0" borderId="7" xfId="0" applyNumberFormat="1" applyFont="1" applyBorder="1" applyAlignment="1">
      <alignment horizontal="center"/>
    </xf>
    <xf numFmtId="1" fontId="0" fillId="0" borderId="2" xfId="0" applyNumberFormat="1" applyBorder="1"/>
    <xf numFmtId="2" fontId="0" fillId="0" borderId="3" xfId="0" applyNumberFormat="1" applyBorder="1"/>
    <xf numFmtId="2" fontId="0" fillId="0" borderId="0" xfId="0" applyNumberFormat="1"/>
    <xf numFmtId="164" fontId="3" fillId="0" borderId="9" xfId="0" applyNumberFormat="1" applyFont="1" applyBorder="1" applyAlignment="1">
      <alignment horizontal="center" wrapText="1"/>
    </xf>
    <xf numFmtId="164" fontId="0" fillId="0" borderId="0" xfId="0" applyNumberFormat="1"/>
    <xf numFmtId="164" fontId="3" fillId="0" borderId="7" xfId="0" applyNumberFormat="1" applyFont="1" applyBorder="1" applyAlignment="1">
      <alignment horizontal="center" wrapText="1"/>
    </xf>
    <xf numFmtId="164" fontId="3" fillId="0" borderId="8" xfId="0" applyNumberFormat="1" applyFont="1" applyBorder="1" applyAlignment="1">
      <alignment horizontal="center" wrapText="1"/>
    </xf>
    <xf numFmtId="164" fontId="0" fillId="0" borderId="2" xfId="0" applyNumberFormat="1" applyBorder="1"/>
    <xf numFmtId="164" fontId="0" fillId="0" borderId="3" xfId="0" applyNumberFormat="1" applyBorder="1"/>
    <xf numFmtId="165" fontId="0" fillId="0" borderId="0" xfId="0" applyNumberFormat="1"/>
    <xf numFmtId="165" fontId="1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vertical="center"/>
    </xf>
    <xf numFmtId="0" fontId="0" fillId="0" borderId="15" xfId="0" applyBorder="1"/>
    <xf numFmtId="165" fontId="0" fillId="0" borderId="16" xfId="0" applyNumberFormat="1" applyBorder="1"/>
    <xf numFmtId="0" fontId="2" fillId="0" borderId="17" xfId="0" applyFont="1" applyBorder="1" applyAlignment="1">
      <alignment vertical="center"/>
    </xf>
    <xf numFmtId="165" fontId="2" fillId="0" borderId="18" xfId="0" applyNumberFormat="1" applyFont="1" applyBorder="1" applyAlignment="1">
      <alignment vertical="center"/>
    </xf>
    <xf numFmtId="0" fontId="0" fillId="0" borderId="17" xfId="0" applyBorder="1"/>
    <xf numFmtId="165" fontId="0" fillId="0" borderId="18" xfId="0" applyNumberFormat="1" applyBorder="1"/>
    <xf numFmtId="0" fontId="0" fillId="0" borderId="19" xfId="0" applyBorder="1"/>
    <xf numFmtId="0" fontId="0" fillId="0" borderId="9" xfId="0" applyBorder="1"/>
    <xf numFmtId="165" fontId="0" fillId="0" borderId="20" xfId="0" applyNumberFormat="1" applyBorder="1"/>
    <xf numFmtId="0" fontId="0" fillId="0" borderId="18" xfId="0" applyBorder="1"/>
    <xf numFmtId="0" fontId="0" fillId="0" borderId="20" xfId="0" applyBorder="1"/>
    <xf numFmtId="0" fontId="2" fillId="0" borderId="18" xfId="0" applyFont="1" applyBorder="1" applyAlignment="1">
      <alignment vertical="center"/>
    </xf>
    <xf numFmtId="0" fontId="0" fillId="0" borderId="21" xfId="0" applyBorder="1"/>
    <xf numFmtId="0" fontId="2" fillId="0" borderId="1" xfId="0" applyFont="1" applyBorder="1" applyAlignment="1">
      <alignment vertical="center"/>
    </xf>
    <xf numFmtId="0" fontId="0" fillId="0" borderId="6" xfId="0" applyBorder="1"/>
    <xf numFmtId="0" fontId="0" fillId="0" borderId="2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165" fontId="0" fillId="0" borderId="21" xfId="0" applyNumberFormat="1" applyBorder="1"/>
    <xf numFmtId="165" fontId="2" fillId="0" borderId="1" xfId="0" applyNumberFormat="1" applyFont="1" applyBorder="1" applyAlignment="1">
      <alignment vertical="center"/>
    </xf>
    <xf numFmtId="165" fontId="0" fillId="0" borderId="1" xfId="0" applyNumberFormat="1" applyBorder="1"/>
    <xf numFmtId="165" fontId="0" fillId="0" borderId="6" xfId="0" applyNumberFormat="1" applyBorder="1"/>
    <xf numFmtId="2" fontId="0" fillId="0" borderId="0" xfId="0" applyNumberFormat="1" applyAlignment="1">
      <alignment horizontal="right"/>
    </xf>
    <xf numFmtId="0" fontId="1" fillId="0" borderId="1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165" fontId="1" fillId="0" borderId="20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 wrapText="1"/>
    </xf>
    <xf numFmtId="164" fontId="3" fillId="0" borderId="13" xfId="0" applyNumberFormat="1" applyFont="1" applyBorder="1" applyAlignment="1">
      <alignment horizontal="center" wrapText="1"/>
    </xf>
    <xf numFmtId="164" fontId="3" fillId="0" borderId="5" xfId="0" applyNumberFormat="1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1" fontId="3" fillId="0" borderId="12" xfId="0" applyNumberFormat="1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1" fontId="3" fillId="0" borderId="4" xfId="0" applyNumberFormat="1" applyFont="1" applyBorder="1" applyAlignment="1">
      <alignment horizontal="center" wrapText="1"/>
    </xf>
    <xf numFmtId="1" fontId="3" fillId="0" borderId="5" xfId="0" applyNumberFormat="1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0884171D-B18B-4EA3-A436-71E333C220D2}">
          <cx:dataId val="0"/>
          <cx:layoutPr>
            <cx:binning intervalClosed="r" underflow="23000" overflow="30500">
              <cx:binCount val="8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CC2F7186-D896-4B24-B9CE-44348626CAAE}">
          <cx:dataId val="0"/>
          <cx:layoutPr>
            <cx:binning intervalClosed="r" underflow="282" overflow="312">
              <cx:binCount val="4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18</xdr:row>
      <xdr:rowOff>120650</xdr:rowOff>
    </xdr:from>
    <xdr:to>
      <xdr:col>19</xdr:col>
      <xdr:colOff>711200</xdr:colOff>
      <xdr:row>49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E09A2E1C-06C3-D4D3-65A8-AFDFC13128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43500" y="3435350"/>
              <a:ext cx="10045700" cy="5759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425450</xdr:colOff>
      <xdr:row>18</xdr:row>
      <xdr:rowOff>25400</xdr:rowOff>
    </xdr:from>
    <xdr:to>
      <xdr:col>19</xdr:col>
      <xdr:colOff>749300</xdr:colOff>
      <xdr:row>52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7638BC6C-2C8E-F534-9BE6-57B80FEDC5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97450" y="3378200"/>
              <a:ext cx="10229850" cy="635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D228-EF8A-431F-9518-9025F09BAF4F}">
  <dimension ref="A1:L520"/>
  <sheetViews>
    <sheetView tabSelected="1" workbookViewId="0">
      <pane ySplit="2" topLeftCell="A162" activePane="bottomLeft" state="frozen"/>
      <selection pane="bottomLeft" activeCell="L399" sqref="L399"/>
    </sheetView>
  </sheetViews>
  <sheetFormatPr baseColWidth="10" defaultRowHeight="14.5" x14ac:dyDescent="0.35"/>
  <cols>
    <col min="1" max="1" width="15.81640625" customWidth="1"/>
    <col min="2" max="2" width="20" bestFit="1" customWidth="1"/>
    <col min="3" max="3" width="15.36328125" style="1" bestFit="1" customWidth="1"/>
    <col min="4" max="4" width="4.81640625" bestFit="1" customWidth="1"/>
    <col min="5" max="5" width="19.1796875" bestFit="1" customWidth="1"/>
    <col min="6" max="7" width="8.36328125" customWidth="1"/>
    <col min="8" max="8" width="6.26953125" customWidth="1"/>
    <col min="9" max="9" width="13.36328125" customWidth="1"/>
    <col min="10" max="11" width="10.90625" customWidth="1"/>
  </cols>
  <sheetData>
    <row r="1" spans="1:12" ht="16" x14ac:dyDescent="0.4">
      <c r="A1" s="10"/>
      <c r="B1" s="10"/>
      <c r="C1" s="9"/>
      <c r="D1" s="10"/>
      <c r="E1" s="10"/>
      <c r="F1" s="10"/>
      <c r="G1" s="10"/>
      <c r="H1" s="10"/>
      <c r="I1" s="68" t="s">
        <v>1075</v>
      </c>
      <c r="J1" s="67" t="s">
        <v>1084</v>
      </c>
      <c r="K1" s="67"/>
      <c r="L1" s="68" t="s">
        <v>1085</v>
      </c>
    </row>
    <row r="2" spans="1:12" ht="16" x14ac:dyDescent="0.4">
      <c r="A2" s="10" t="s">
        <v>1076</v>
      </c>
      <c r="B2" s="10" t="s">
        <v>1077</v>
      </c>
      <c r="C2" s="9" t="s">
        <v>1078</v>
      </c>
      <c r="D2" s="10" t="s">
        <v>1079</v>
      </c>
      <c r="E2" s="10" t="s">
        <v>1080</v>
      </c>
      <c r="F2" s="10" t="s">
        <v>1081</v>
      </c>
      <c r="G2" s="10" t="s">
        <v>1082</v>
      </c>
      <c r="H2" s="10" t="s">
        <v>1083</v>
      </c>
      <c r="I2" s="67"/>
      <c r="J2" s="9" t="s">
        <v>86</v>
      </c>
      <c r="K2" s="9" t="s">
        <v>87</v>
      </c>
      <c r="L2" s="68"/>
    </row>
    <row r="3" spans="1:12" x14ac:dyDescent="0.35">
      <c r="A3" t="s">
        <v>7</v>
      </c>
      <c r="B3" t="s">
        <v>8</v>
      </c>
      <c r="C3" s="1" t="s">
        <v>9</v>
      </c>
      <c r="E3" t="s">
        <v>19</v>
      </c>
      <c r="F3">
        <v>4108</v>
      </c>
      <c r="G3">
        <v>1780</v>
      </c>
      <c r="H3">
        <v>1459</v>
      </c>
      <c r="I3">
        <v>380</v>
      </c>
    </row>
    <row r="4" spans="1:12" x14ac:dyDescent="0.35">
      <c r="A4" t="s">
        <v>10</v>
      </c>
      <c r="B4" t="s">
        <v>11</v>
      </c>
      <c r="C4" s="1" t="s">
        <v>9</v>
      </c>
      <c r="D4">
        <v>2024</v>
      </c>
      <c r="E4" t="s">
        <v>22</v>
      </c>
      <c r="F4">
        <v>4113</v>
      </c>
      <c r="G4">
        <v>1797</v>
      </c>
      <c r="H4">
        <v>1502</v>
      </c>
      <c r="I4">
        <v>293</v>
      </c>
      <c r="L4">
        <v>16690</v>
      </c>
    </row>
    <row r="5" spans="1:12" x14ac:dyDescent="0.35">
      <c r="A5" t="s">
        <v>12</v>
      </c>
      <c r="B5" t="s">
        <v>13</v>
      </c>
      <c r="C5" s="1" t="s">
        <v>9</v>
      </c>
      <c r="D5">
        <v>2019</v>
      </c>
      <c r="E5" t="s">
        <v>20</v>
      </c>
      <c r="F5">
        <v>4253</v>
      </c>
      <c r="G5">
        <v>1800</v>
      </c>
      <c r="H5">
        <v>1441</v>
      </c>
      <c r="I5">
        <v>360</v>
      </c>
    </row>
    <row r="6" spans="1:12" x14ac:dyDescent="0.35">
      <c r="A6" t="s">
        <v>14</v>
      </c>
      <c r="B6" t="s">
        <v>15</v>
      </c>
      <c r="C6" s="1" t="s">
        <v>9</v>
      </c>
      <c r="D6">
        <v>2024</v>
      </c>
      <c r="E6" t="s">
        <v>21</v>
      </c>
      <c r="F6">
        <v>4261</v>
      </c>
      <c r="G6">
        <v>1809</v>
      </c>
      <c r="H6">
        <v>1562</v>
      </c>
      <c r="I6">
        <v>385</v>
      </c>
    </row>
    <row r="7" spans="1:12" x14ac:dyDescent="0.35">
      <c r="A7" t="s">
        <v>14</v>
      </c>
      <c r="B7" t="s">
        <v>18</v>
      </c>
      <c r="C7" s="1" t="s">
        <v>9</v>
      </c>
      <c r="D7">
        <v>2020</v>
      </c>
      <c r="E7" t="s">
        <v>51</v>
      </c>
      <c r="F7">
        <v>4284</v>
      </c>
      <c r="G7">
        <v>1789</v>
      </c>
      <c r="H7">
        <v>1456</v>
      </c>
      <c r="I7">
        <v>270</v>
      </c>
    </row>
    <row r="8" spans="1:12" x14ac:dyDescent="0.35">
      <c r="A8" t="s">
        <v>14</v>
      </c>
      <c r="B8" t="s">
        <v>18</v>
      </c>
      <c r="C8" s="1" t="s">
        <v>9</v>
      </c>
      <c r="D8">
        <v>2020</v>
      </c>
      <c r="E8" t="s">
        <v>31</v>
      </c>
      <c r="F8">
        <v>4284</v>
      </c>
      <c r="G8">
        <v>1789</v>
      </c>
      <c r="H8">
        <v>1456</v>
      </c>
      <c r="I8">
        <v>380</v>
      </c>
    </row>
    <row r="9" spans="1:12" x14ac:dyDescent="0.35">
      <c r="A9" t="s">
        <v>10</v>
      </c>
      <c r="B9" t="s">
        <v>23</v>
      </c>
      <c r="C9" s="1" t="s">
        <v>9</v>
      </c>
      <c r="D9">
        <v>2023</v>
      </c>
      <c r="E9" t="s">
        <v>21</v>
      </c>
      <c r="F9">
        <v>4287</v>
      </c>
      <c r="G9">
        <v>1836</v>
      </c>
      <c r="H9">
        <v>1504</v>
      </c>
      <c r="I9">
        <v>363</v>
      </c>
    </row>
    <row r="10" spans="1:12" x14ac:dyDescent="0.35">
      <c r="A10" t="s">
        <v>24</v>
      </c>
      <c r="B10" t="s">
        <v>25</v>
      </c>
      <c r="C10" s="1" t="s">
        <v>9</v>
      </c>
      <c r="D10">
        <v>2022</v>
      </c>
      <c r="E10" t="s">
        <v>26</v>
      </c>
      <c r="F10">
        <v>4310</v>
      </c>
      <c r="G10">
        <v>1800</v>
      </c>
      <c r="H10">
        <v>1447</v>
      </c>
      <c r="I10">
        <v>395</v>
      </c>
    </row>
    <row r="11" spans="1:12" x14ac:dyDescent="0.35">
      <c r="A11" t="s">
        <v>27</v>
      </c>
      <c r="B11" t="s">
        <v>28</v>
      </c>
      <c r="C11" s="1" t="s">
        <v>9</v>
      </c>
      <c r="D11">
        <v>2021</v>
      </c>
      <c r="E11" t="s">
        <v>21</v>
      </c>
      <c r="F11">
        <v>4322</v>
      </c>
      <c r="G11">
        <v>1809</v>
      </c>
      <c r="H11">
        <v>1537</v>
      </c>
      <c r="I11">
        <v>385</v>
      </c>
    </row>
    <row r="12" spans="1:12" x14ac:dyDescent="0.35">
      <c r="A12" t="s">
        <v>29</v>
      </c>
      <c r="B12" t="s">
        <v>30</v>
      </c>
      <c r="C12" s="1" t="s">
        <v>9</v>
      </c>
      <c r="D12">
        <v>2020</v>
      </c>
      <c r="E12" t="s">
        <v>31</v>
      </c>
      <c r="F12">
        <v>4340</v>
      </c>
      <c r="G12">
        <v>1795</v>
      </c>
      <c r="H12">
        <v>1455</v>
      </c>
      <c r="I12">
        <v>395</v>
      </c>
    </row>
    <row r="13" spans="1:12" x14ac:dyDescent="0.35">
      <c r="A13" t="s">
        <v>32</v>
      </c>
      <c r="B13" t="s">
        <v>33</v>
      </c>
      <c r="C13" s="1" t="s">
        <v>9</v>
      </c>
      <c r="D13">
        <v>2024</v>
      </c>
      <c r="E13" t="s">
        <v>31</v>
      </c>
      <c r="F13">
        <v>4352</v>
      </c>
      <c r="G13">
        <v>1816</v>
      </c>
      <c r="H13">
        <v>1537</v>
      </c>
      <c r="I13">
        <v>380</v>
      </c>
    </row>
    <row r="14" spans="1:12" x14ac:dyDescent="0.35">
      <c r="A14" t="s">
        <v>34</v>
      </c>
      <c r="B14" t="s">
        <v>35</v>
      </c>
      <c r="C14" s="1" t="s">
        <v>9</v>
      </c>
      <c r="D14">
        <v>2021</v>
      </c>
      <c r="E14" t="s">
        <v>36</v>
      </c>
      <c r="F14">
        <v>4360</v>
      </c>
      <c r="G14">
        <v>1800</v>
      </c>
      <c r="H14">
        <v>1525</v>
      </c>
      <c r="I14">
        <v>380</v>
      </c>
    </row>
    <row r="15" spans="1:12" x14ac:dyDescent="0.35">
      <c r="A15" t="s">
        <v>37</v>
      </c>
      <c r="B15" t="s">
        <v>38</v>
      </c>
      <c r="C15" s="1" t="s">
        <v>9</v>
      </c>
      <c r="D15">
        <v>2025</v>
      </c>
      <c r="E15" t="s">
        <v>31</v>
      </c>
      <c r="F15">
        <v>4361</v>
      </c>
      <c r="G15">
        <v>1800</v>
      </c>
      <c r="H15">
        <v>1459</v>
      </c>
      <c r="I15">
        <v>380</v>
      </c>
    </row>
    <row r="16" spans="1:12" x14ac:dyDescent="0.35">
      <c r="A16" t="s">
        <v>7</v>
      </c>
      <c r="B16" t="s">
        <v>39</v>
      </c>
      <c r="C16" s="1" t="s">
        <v>9</v>
      </c>
      <c r="D16">
        <v>2024</v>
      </c>
      <c r="E16" t="s">
        <v>19</v>
      </c>
      <c r="F16">
        <v>4362</v>
      </c>
      <c r="G16">
        <v>1793</v>
      </c>
      <c r="H16">
        <v>1471</v>
      </c>
      <c r="I16">
        <v>467</v>
      </c>
    </row>
    <row r="17" spans="1:12" x14ac:dyDescent="0.35">
      <c r="A17" t="s">
        <v>40</v>
      </c>
      <c r="B17" s="2" t="s">
        <v>774</v>
      </c>
      <c r="C17" s="1" t="s">
        <v>9</v>
      </c>
      <c r="D17">
        <v>2022</v>
      </c>
      <c r="E17" t="s">
        <v>52</v>
      </c>
      <c r="F17">
        <v>4367</v>
      </c>
      <c r="G17">
        <v>1852</v>
      </c>
      <c r="H17">
        <v>1441</v>
      </c>
      <c r="I17">
        <v>361</v>
      </c>
    </row>
    <row r="18" spans="1:12" x14ac:dyDescent="0.35">
      <c r="A18" t="s">
        <v>40</v>
      </c>
      <c r="B18" s="2" t="s">
        <v>774</v>
      </c>
      <c r="C18" s="1" t="s">
        <v>9</v>
      </c>
      <c r="D18">
        <v>2022</v>
      </c>
      <c r="E18" t="s">
        <v>31</v>
      </c>
      <c r="F18">
        <v>4367</v>
      </c>
      <c r="G18">
        <v>1852</v>
      </c>
      <c r="H18">
        <v>1441</v>
      </c>
      <c r="I18">
        <v>412</v>
      </c>
    </row>
    <row r="19" spans="1:12" x14ac:dyDescent="0.35">
      <c r="A19" t="s">
        <v>41</v>
      </c>
      <c r="B19" t="s">
        <v>42</v>
      </c>
      <c r="C19" s="1" t="s">
        <v>9</v>
      </c>
      <c r="D19">
        <v>2020</v>
      </c>
      <c r="E19" t="s">
        <v>51</v>
      </c>
      <c r="F19">
        <v>4368</v>
      </c>
      <c r="G19">
        <v>1799</v>
      </c>
      <c r="H19">
        <v>1456</v>
      </c>
      <c r="I19">
        <v>270</v>
      </c>
    </row>
    <row r="20" spans="1:12" x14ac:dyDescent="0.35">
      <c r="A20" t="s">
        <v>41</v>
      </c>
      <c r="B20" t="s">
        <v>42</v>
      </c>
      <c r="C20" s="1" t="s">
        <v>9</v>
      </c>
      <c r="D20">
        <v>2020</v>
      </c>
      <c r="E20" t="s">
        <v>31</v>
      </c>
      <c r="F20">
        <v>4368</v>
      </c>
      <c r="G20">
        <v>1799</v>
      </c>
      <c r="H20">
        <v>1456</v>
      </c>
      <c r="I20">
        <v>380</v>
      </c>
    </row>
    <row r="21" spans="1:12" x14ac:dyDescent="0.35">
      <c r="A21" t="s">
        <v>43</v>
      </c>
      <c r="B21" t="s">
        <v>44</v>
      </c>
      <c r="C21" s="1" t="s">
        <v>9</v>
      </c>
      <c r="D21">
        <v>2021</v>
      </c>
      <c r="E21" t="s">
        <v>31</v>
      </c>
      <c r="F21">
        <v>4368</v>
      </c>
      <c r="G21">
        <v>1792</v>
      </c>
      <c r="H21">
        <v>1495</v>
      </c>
      <c r="I21">
        <v>440</v>
      </c>
    </row>
    <row r="22" spans="1:12" x14ac:dyDescent="0.35">
      <c r="A22" t="s">
        <v>45</v>
      </c>
      <c r="B22" t="s">
        <v>46</v>
      </c>
      <c r="C22" s="1" t="s">
        <v>9</v>
      </c>
      <c r="D22">
        <v>2023</v>
      </c>
      <c r="E22" t="s">
        <v>22</v>
      </c>
      <c r="F22">
        <v>4370</v>
      </c>
      <c r="G22">
        <v>1790</v>
      </c>
      <c r="H22">
        <v>1435</v>
      </c>
      <c r="I22">
        <v>361</v>
      </c>
      <c r="L22">
        <v>26500</v>
      </c>
    </row>
    <row r="23" spans="1:12" x14ac:dyDescent="0.35">
      <c r="A23" t="s">
        <v>47</v>
      </c>
      <c r="B23" t="s">
        <v>48</v>
      </c>
      <c r="C23" s="1" t="s">
        <v>9</v>
      </c>
      <c r="D23">
        <v>2022</v>
      </c>
      <c r="E23" t="s">
        <v>52</v>
      </c>
      <c r="F23">
        <v>4374</v>
      </c>
      <c r="G23">
        <v>1860</v>
      </c>
      <c r="H23">
        <v>1470</v>
      </c>
      <c r="I23">
        <v>352</v>
      </c>
    </row>
    <row r="24" spans="1:12" x14ac:dyDescent="0.35">
      <c r="A24" t="s">
        <v>47</v>
      </c>
      <c r="B24" t="s">
        <v>48</v>
      </c>
      <c r="C24" s="1" t="s">
        <v>9</v>
      </c>
      <c r="D24">
        <v>2022</v>
      </c>
      <c r="E24" t="s">
        <v>31</v>
      </c>
      <c r="F24">
        <v>4374</v>
      </c>
      <c r="G24">
        <v>1860</v>
      </c>
      <c r="H24">
        <v>1470</v>
      </c>
      <c r="I24">
        <v>422</v>
      </c>
    </row>
    <row r="25" spans="1:12" x14ac:dyDescent="0.35">
      <c r="A25" t="s">
        <v>49</v>
      </c>
      <c r="B25" t="s">
        <v>50</v>
      </c>
      <c r="C25" s="1" t="s">
        <v>9</v>
      </c>
      <c r="D25">
        <v>2022</v>
      </c>
      <c r="E25" t="s">
        <v>31</v>
      </c>
      <c r="F25">
        <v>4382</v>
      </c>
      <c r="G25">
        <v>1825</v>
      </c>
      <c r="H25">
        <v>1471</v>
      </c>
      <c r="I25">
        <v>392</v>
      </c>
    </row>
    <row r="26" spans="1:12" x14ac:dyDescent="0.35">
      <c r="A26" t="s">
        <v>27</v>
      </c>
      <c r="B26" t="s">
        <v>42</v>
      </c>
      <c r="C26" s="1" t="s">
        <v>9</v>
      </c>
      <c r="D26">
        <v>2024</v>
      </c>
      <c r="E26" t="s">
        <v>51</v>
      </c>
      <c r="F26">
        <v>4398</v>
      </c>
      <c r="G26">
        <v>1799</v>
      </c>
      <c r="H26">
        <v>1444</v>
      </c>
      <c r="I26">
        <v>270</v>
      </c>
    </row>
    <row r="27" spans="1:12" x14ac:dyDescent="0.35">
      <c r="A27" t="s">
        <v>27</v>
      </c>
      <c r="B27" t="s">
        <v>42</v>
      </c>
      <c r="C27" s="1" t="s">
        <v>9</v>
      </c>
      <c r="D27">
        <v>2024</v>
      </c>
      <c r="E27" t="s">
        <v>31</v>
      </c>
      <c r="F27">
        <v>4398</v>
      </c>
      <c r="G27">
        <v>1799</v>
      </c>
      <c r="H27">
        <v>1444</v>
      </c>
      <c r="I27">
        <v>380</v>
      </c>
    </row>
    <row r="28" spans="1:12" x14ac:dyDescent="0.35">
      <c r="A28" t="s">
        <v>53</v>
      </c>
      <c r="B28" t="s">
        <v>54</v>
      </c>
      <c r="C28" s="1" t="s">
        <v>9</v>
      </c>
      <c r="D28">
        <v>2021</v>
      </c>
      <c r="E28" t="s">
        <v>55</v>
      </c>
      <c r="F28">
        <v>4400</v>
      </c>
      <c r="G28">
        <v>1830</v>
      </c>
      <c r="H28">
        <v>1490</v>
      </c>
      <c r="I28">
        <v>439</v>
      </c>
    </row>
    <row r="29" spans="1:12" x14ac:dyDescent="0.35">
      <c r="A29" t="s">
        <v>53</v>
      </c>
      <c r="B29" t="s">
        <v>54</v>
      </c>
      <c r="C29" s="1" t="s">
        <v>9</v>
      </c>
      <c r="D29">
        <v>2021</v>
      </c>
      <c r="E29" t="s">
        <v>51</v>
      </c>
      <c r="F29">
        <v>4400</v>
      </c>
      <c r="G29">
        <v>1830</v>
      </c>
      <c r="H29">
        <v>1490</v>
      </c>
      <c r="I29">
        <v>390</v>
      </c>
    </row>
    <row r="30" spans="1:12" x14ac:dyDescent="0.35">
      <c r="A30" t="s">
        <v>81</v>
      </c>
      <c r="B30" t="s">
        <v>56</v>
      </c>
      <c r="C30" s="1" t="s">
        <v>57</v>
      </c>
      <c r="D30">
        <v>2023</v>
      </c>
      <c r="E30" t="s">
        <v>58</v>
      </c>
      <c r="F30">
        <v>4419</v>
      </c>
      <c r="G30">
        <v>1796</v>
      </c>
      <c r="H30">
        <v>1440</v>
      </c>
      <c r="I30">
        <v>355</v>
      </c>
    </row>
    <row r="31" spans="1:12" x14ac:dyDescent="0.35">
      <c r="A31" t="s">
        <v>81</v>
      </c>
      <c r="B31" t="s">
        <v>56</v>
      </c>
      <c r="C31" s="1" t="s">
        <v>57</v>
      </c>
      <c r="D31">
        <v>2023</v>
      </c>
      <c r="E31" t="s">
        <v>51</v>
      </c>
      <c r="F31">
        <v>4419</v>
      </c>
      <c r="G31">
        <v>1796</v>
      </c>
      <c r="H31">
        <v>1440</v>
      </c>
      <c r="I31">
        <v>310</v>
      </c>
    </row>
    <row r="32" spans="1:12" x14ac:dyDescent="0.35">
      <c r="A32" t="s">
        <v>29</v>
      </c>
      <c r="B32" t="s">
        <v>59</v>
      </c>
      <c r="C32" s="1" t="s">
        <v>57</v>
      </c>
      <c r="D32">
        <v>2020</v>
      </c>
      <c r="E32" t="s">
        <v>26</v>
      </c>
      <c r="F32">
        <v>4455</v>
      </c>
      <c r="G32">
        <v>1795</v>
      </c>
      <c r="H32">
        <v>1425</v>
      </c>
      <c r="I32">
        <v>450</v>
      </c>
    </row>
    <row r="33" spans="1:12" x14ac:dyDescent="0.35">
      <c r="A33" t="s">
        <v>60</v>
      </c>
      <c r="B33" s="2" t="s">
        <v>456</v>
      </c>
      <c r="C33" s="1" t="s">
        <v>57</v>
      </c>
      <c r="D33">
        <v>2019</v>
      </c>
      <c r="E33" t="s">
        <v>61</v>
      </c>
      <c r="F33">
        <v>4460</v>
      </c>
      <c r="G33">
        <v>1795</v>
      </c>
      <c r="H33">
        <v>1435</v>
      </c>
      <c r="I33">
        <v>358</v>
      </c>
    </row>
    <row r="34" spans="1:12" x14ac:dyDescent="0.35">
      <c r="A34" t="s">
        <v>62</v>
      </c>
      <c r="B34" t="s">
        <v>63</v>
      </c>
      <c r="C34" s="1" t="s">
        <v>57</v>
      </c>
      <c r="D34">
        <v>2024</v>
      </c>
      <c r="E34" t="s">
        <v>21</v>
      </c>
      <c r="F34">
        <v>4490</v>
      </c>
      <c r="G34">
        <v>1788</v>
      </c>
      <c r="H34">
        <v>1540</v>
      </c>
      <c r="I34">
        <v>435</v>
      </c>
    </row>
    <row r="35" spans="1:12" x14ac:dyDescent="0.35">
      <c r="A35" t="s">
        <v>32</v>
      </c>
      <c r="B35" t="s">
        <v>64</v>
      </c>
      <c r="C35" s="1" t="s">
        <v>57</v>
      </c>
      <c r="D35">
        <v>2024</v>
      </c>
      <c r="E35" t="s">
        <v>31</v>
      </c>
      <c r="F35">
        <v>4504</v>
      </c>
      <c r="G35">
        <v>1816</v>
      </c>
      <c r="H35">
        <v>1417</v>
      </c>
      <c r="I35">
        <v>425</v>
      </c>
    </row>
    <row r="36" spans="1:12" x14ac:dyDescent="0.35">
      <c r="A36" t="s">
        <v>37</v>
      </c>
      <c r="B36" t="s">
        <v>65</v>
      </c>
      <c r="C36" s="1" t="s">
        <v>57</v>
      </c>
      <c r="D36">
        <v>2022</v>
      </c>
      <c r="E36" t="s">
        <v>26</v>
      </c>
      <c r="F36">
        <v>4537</v>
      </c>
      <c r="G36">
        <v>1838</v>
      </c>
      <c r="H36">
        <v>1390</v>
      </c>
      <c r="I36">
        <v>390</v>
      </c>
    </row>
    <row r="37" spans="1:12" x14ac:dyDescent="0.35">
      <c r="A37" t="s">
        <v>37</v>
      </c>
      <c r="B37" t="s">
        <v>66</v>
      </c>
      <c r="C37" s="1" t="s">
        <v>57</v>
      </c>
      <c r="D37">
        <v>2025</v>
      </c>
      <c r="E37" t="s">
        <v>31</v>
      </c>
      <c r="F37">
        <v>4546</v>
      </c>
      <c r="G37">
        <v>1800</v>
      </c>
      <c r="H37">
        <v>1445</v>
      </c>
      <c r="I37">
        <v>430</v>
      </c>
    </row>
    <row r="38" spans="1:12" x14ac:dyDescent="0.35">
      <c r="A38" t="s">
        <v>81</v>
      </c>
      <c r="B38" t="s">
        <v>67</v>
      </c>
      <c r="C38" s="1" t="s">
        <v>57</v>
      </c>
      <c r="D38">
        <v>2023</v>
      </c>
      <c r="E38" t="s">
        <v>58</v>
      </c>
      <c r="F38">
        <v>4549</v>
      </c>
      <c r="G38">
        <v>1796</v>
      </c>
      <c r="H38">
        <v>1446</v>
      </c>
      <c r="I38">
        <v>405</v>
      </c>
    </row>
    <row r="39" spans="1:12" x14ac:dyDescent="0.35">
      <c r="A39" t="s">
        <v>81</v>
      </c>
      <c r="B39" t="s">
        <v>67</v>
      </c>
      <c r="C39" s="1" t="s">
        <v>57</v>
      </c>
      <c r="D39">
        <v>2023</v>
      </c>
      <c r="E39" t="s">
        <v>51</v>
      </c>
      <c r="F39">
        <v>4549</v>
      </c>
      <c r="G39">
        <v>1796</v>
      </c>
      <c r="H39">
        <v>1446</v>
      </c>
      <c r="I39">
        <v>345</v>
      </c>
    </row>
    <row r="40" spans="1:12" x14ac:dyDescent="0.35">
      <c r="A40" t="s">
        <v>68</v>
      </c>
      <c r="B40" t="s">
        <v>69</v>
      </c>
      <c r="C40" s="1" t="s">
        <v>57</v>
      </c>
      <c r="D40">
        <v>2023</v>
      </c>
      <c r="E40" t="s">
        <v>22</v>
      </c>
      <c r="F40">
        <v>4551</v>
      </c>
      <c r="G40">
        <v>1802</v>
      </c>
      <c r="H40">
        <v>1408</v>
      </c>
      <c r="I40">
        <v>410</v>
      </c>
      <c r="L40">
        <v>33500</v>
      </c>
    </row>
    <row r="41" spans="1:12" x14ac:dyDescent="0.35">
      <c r="A41" t="s">
        <v>45</v>
      </c>
      <c r="B41" t="s">
        <v>70</v>
      </c>
      <c r="C41" s="1" t="s">
        <v>57</v>
      </c>
      <c r="D41">
        <v>2023</v>
      </c>
      <c r="E41" t="s">
        <v>51</v>
      </c>
      <c r="F41">
        <v>4599</v>
      </c>
      <c r="G41">
        <v>1782</v>
      </c>
      <c r="H41">
        <v>1430</v>
      </c>
      <c r="I41">
        <v>284</v>
      </c>
    </row>
    <row r="42" spans="1:12" x14ac:dyDescent="0.35">
      <c r="A42" t="s">
        <v>34</v>
      </c>
      <c r="B42" t="s">
        <v>71</v>
      </c>
      <c r="C42" s="1" t="s">
        <v>57</v>
      </c>
      <c r="D42">
        <v>2023</v>
      </c>
      <c r="E42" t="s">
        <v>55</v>
      </c>
      <c r="F42">
        <v>4600</v>
      </c>
      <c r="G42">
        <v>1800</v>
      </c>
      <c r="H42">
        <v>1525</v>
      </c>
      <c r="I42">
        <v>510</v>
      </c>
    </row>
    <row r="43" spans="1:12" x14ac:dyDescent="0.35">
      <c r="A43" t="s">
        <v>24</v>
      </c>
      <c r="B43" t="s">
        <v>72</v>
      </c>
      <c r="C43" s="1" t="s">
        <v>57</v>
      </c>
      <c r="D43">
        <v>2022</v>
      </c>
      <c r="E43" t="s">
        <v>19</v>
      </c>
      <c r="F43">
        <v>4605</v>
      </c>
      <c r="G43">
        <v>1800</v>
      </c>
      <c r="H43">
        <v>1442</v>
      </c>
      <c r="I43">
        <v>594</v>
      </c>
    </row>
    <row r="44" spans="1:12" x14ac:dyDescent="0.35">
      <c r="A44" t="s">
        <v>24</v>
      </c>
      <c r="B44" t="s">
        <v>72</v>
      </c>
      <c r="C44" s="1" t="s">
        <v>57</v>
      </c>
      <c r="D44">
        <v>2022</v>
      </c>
      <c r="E44" t="s">
        <v>61</v>
      </c>
      <c r="F44">
        <v>4605</v>
      </c>
      <c r="G44">
        <v>1800</v>
      </c>
      <c r="H44">
        <v>1442</v>
      </c>
      <c r="I44">
        <v>472</v>
      </c>
    </row>
    <row r="45" spans="1:12" x14ac:dyDescent="0.35">
      <c r="A45" t="s">
        <v>73</v>
      </c>
      <c r="B45" s="2" t="s">
        <v>379</v>
      </c>
      <c r="C45" s="1" t="s">
        <v>57</v>
      </c>
      <c r="D45">
        <v>2024</v>
      </c>
      <c r="E45" t="s">
        <v>21</v>
      </c>
      <c r="F45">
        <v>4606</v>
      </c>
      <c r="G45">
        <v>1800</v>
      </c>
      <c r="H45">
        <v>1479</v>
      </c>
      <c r="I45">
        <v>448</v>
      </c>
    </row>
    <row r="46" spans="1:12" x14ac:dyDescent="0.35">
      <c r="A46" t="s">
        <v>45</v>
      </c>
      <c r="B46" t="s">
        <v>74</v>
      </c>
      <c r="C46" s="1" t="s">
        <v>57</v>
      </c>
      <c r="D46">
        <v>2023</v>
      </c>
      <c r="E46" t="s">
        <v>22</v>
      </c>
      <c r="F46">
        <v>4630</v>
      </c>
      <c r="G46">
        <v>1780</v>
      </c>
      <c r="H46">
        <v>1435</v>
      </c>
      <c r="I46">
        <v>471</v>
      </c>
      <c r="L46">
        <v>30050</v>
      </c>
    </row>
    <row r="47" spans="1:12" x14ac:dyDescent="0.35">
      <c r="A47" t="s">
        <v>75</v>
      </c>
      <c r="B47" t="s">
        <v>76</v>
      </c>
      <c r="C47" s="1" t="s">
        <v>57</v>
      </c>
      <c r="D47">
        <v>2023</v>
      </c>
      <c r="E47" t="s">
        <v>55</v>
      </c>
      <c r="F47">
        <v>4643</v>
      </c>
      <c r="G47">
        <v>1860</v>
      </c>
      <c r="H47">
        <v>1436</v>
      </c>
      <c r="I47">
        <v>480</v>
      </c>
    </row>
    <row r="48" spans="1:12" x14ac:dyDescent="0.35">
      <c r="A48" t="s">
        <v>60</v>
      </c>
      <c r="B48" t="s">
        <v>77</v>
      </c>
      <c r="C48" s="1" t="s">
        <v>57</v>
      </c>
      <c r="D48">
        <v>2019</v>
      </c>
      <c r="E48" t="s">
        <v>61</v>
      </c>
      <c r="F48">
        <v>4660</v>
      </c>
      <c r="G48">
        <v>1795</v>
      </c>
      <c r="H48">
        <v>1440</v>
      </c>
      <c r="I48">
        <v>450</v>
      </c>
    </row>
    <row r="49" spans="1:9" x14ac:dyDescent="0.35">
      <c r="A49" t="s">
        <v>78</v>
      </c>
      <c r="B49" t="s">
        <v>79</v>
      </c>
      <c r="C49" s="1" t="s">
        <v>57</v>
      </c>
      <c r="D49">
        <v>2019</v>
      </c>
      <c r="E49" t="s">
        <v>20</v>
      </c>
      <c r="F49">
        <v>4678</v>
      </c>
      <c r="G49">
        <v>1850</v>
      </c>
      <c r="H49">
        <v>1416</v>
      </c>
      <c r="I49">
        <v>291</v>
      </c>
    </row>
    <row r="50" spans="1:9" x14ac:dyDescent="0.35">
      <c r="A50" t="s">
        <v>24</v>
      </c>
      <c r="B50" t="s">
        <v>80</v>
      </c>
      <c r="C50" s="1" t="s">
        <v>57</v>
      </c>
      <c r="D50">
        <v>2021</v>
      </c>
      <c r="E50" t="s">
        <v>21</v>
      </c>
      <c r="F50">
        <v>4680</v>
      </c>
      <c r="G50">
        <v>1880</v>
      </c>
      <c r="H50">
        <v>1550</v>
      </c>
      <c r="I50">
        <v>572</v>
      </c>
    </row>
    <row r="51" spans="1:9" x14ac:dyDescent="0.35">
      <c r="A51" t="s">
        <v>40</v>
      </c>
      <c r="B51" s="2" t="s">
        <v>879</v>
      </c>
      <c r="C51" s="1" t="s">
        <v>57</v>
      </c>
      <c r="D51">
        <v>2023</v>
      </c>
      <c r="E51" t="s">
        <v>26</v>
      </c>
      <c r="F51">
        <v>4687</v>
      </c>
      <c r="G51">
        <v>1848</v>
      </c>
      <c r="H51">
        <v>1478</v>
      </c>
      <c r="I51">
        <v>536</v>
      </c>
    </row>
    <row r="52" spans="1:9" x14ac:dyDescent="0.35">
      <c r="A52" t="s">
        <v>40</v>
      </c>
      <c r="B52" s="2" t="s">
        <v>879</v>
      </c>
      <c r="C52" s="1" t="s">
        <v>57</v>
      </c>
      <c r="D52">
        <v>2023</v>
      </c>
      <c r="E52" t="s">
        <v>52</v>
      </c>
      <c r="F52">
        <v>4687</v>
      </c>
      <c r="G52">
        <v>1848</v>
      </c>
      <c r="H52">
        <v>1478</v>
      </c>
      <c r="I52">
        <v>471</v>
      </c>
    </row>
    <row r="53" spans="1:9" x14ac:dyDescent="0.35">
      <c r="A53" t="s">
        <v>81</v>
      </c>
      <c r="B53" t="s">
        <v>82</v>
      </c>
      <c r="C53" s="1" t="s">
        <v>57</v>
      </c>
      <c r="D53">
        <v>2023</v>
      </c>
      <c r="E53" t="s">
        <v>58</v>
      </c>
      <c r="F53">
        <v>4688</v>
      </c>
      <c r="G53">
        <v>1830</v>
      </c>
      <c r="H53">
        <v>1439</v>
      </c>
      <c r="I53">
        <v>460</v>
      </c>
    </row>
    <row r="54" spans="1:9" x14ac:dyDescent="0.35">
      <c r="A54" t="s">
        <v>81</v>
      </c>
      <c r="B54" t="s">
        <v>82</v>
      </c>
      <c r="C54" s="1" t="s">
        <v>57</v>
      </c>
      <c r="D54">
        <v>2023</v>
      </c>
      <c r="E54" t="s">
        <v>51</v>
      </c>
      <c r="F54">
        <v>4688</v>
      </c>
      <c r="G54">
        <v>1830</v>
      </c>
      <c r="H54">
        <v>1439</v>
      </c>
      <c r="I54">
        <v>390</v>
      </c>
    </row>
    <row r="55" spans="1:9" x14ac:dyDescent="0.35">
      <c r="A55" t="s">
        <v>7</v>
      </c>
      <c r="B55" t="s">
        <v>83</v>
      </c>
      <c r="C55" s="1" t="s">
        <v>57</v>
      </c>
      <c r="D55">
        <v>2024</v>
      </c>
      <c r="E55" t="s">
        <v>84</v>
      </c>
      <c r="F55">
        <v>4698</v>
      </c>
      <c r="G55">
        <v>1829</v>
      </c>
      <c r="H55">
        <v>1470</v>
      </c>
      <c r="I55">
        <v>600</v>
      </c>
    </row>
    <row r="56" spans="1:9" x14ac:dyDescent="0.35">
      <c r="A56" t="s">
        <v>37</v>
      </c>
      <c r="B56" t="s">
        <v>88</v>
      </c>
      <c r="C56" s="1" t="s">
        <v>89</v>
      </c>
      <c r="D56">
        <v>2023</v>
      </c>
      <c r="E56" t="s">
        <v>90</v>
      </c>
      <c r="F56">
        <v>4713</v>
      </c>
      <c r="G56">
        <v>1827</v>
      </c>
      <c r="H56">
        <v>1440</v>
      </c>
      <c r="I56">
        <v>480</v>
      </c>
    </row>
    <row r="57" spans="1:9" x14ac:dyDescent="0.35">
      <c r="A57" t="s">
        <v>37</v>
      </c>
      <c r="B57" t="s">
        <v>88</v>
      </c>
      <c r="C57" s="1" t="s">
        <v>89</v>
      </c>
      <c r="D57">
        <v>2023</v>
      </c>
      <c r="E57" t="s">
        <v>51</v>
      </c>
      <c r="F57">
        <v>4713</v>
      </c>
      <c r="G57">
        <v>1827</v>
      </c>
      <c r="H57">
        <v>1440</v>
      </c>
      <c r="I57">
        <v>375</v>
      </c>
    </row>
    <row r="58" spans="1:9" x14ac:dyDescent="0.35">
      <c r="A58" t="s">
        <v>91</v>
      </c>
      <c r="B58" t="s">
        <v>92</v>
      </c>
      <c r="C58" s="1" t="s">
        <v>89</v>
      </c>
      <c r="D58">
        <v>2024</v>
      </c>
      <c r="E58" t="s">
        <v>21</v>
      </c>
      <c r="F58">
        <v>4720</v>
      </c>
      <c r="G58">
        <v>1850</v>
      </c>
      <c r="H58">
        <v>1441</v>
      </c>
      <c r="I58">
        <v>513</v>
      </c>
    </row>
    <row r="59" spans="1:9" x14ac:dyDescent="0.35">
      <c r="A59" t="s">
        <v>40</v>
      </c>
      <c r="B59" s="2" t="s">
        <v>880</v>
      </c>
      <c r="C59" s="1" t="s">
        <v>89</v>
      </c>
      <c r="D59">
        <v>2023</v>
      </c>
      <c r="E59" t="s">
        <v>20</v>
      </c>
      <c r="F59">
        <v>4750</v>
      </c>
      <c r="G59">
        <v>1859</v>
      </c>
      <c r="H59">
        <v>1403</v>
      </c>
      <c r="I59">
        <v>487</v>
      </c>
    </row>
    <row r="60" spans="1:9" x14ac:dyDescent="0.35">
      <c r="A60" t="s">
        <v>40</v>
      </c>
      <c r="B60" s="2" t="s">
        <v>880</v>
      </c>
      <c r="C60" s="1" t="s">
        <v>89</v>
      </c>
      <c r="D60">
        <v>2023</v>
      </c>
      <c r="E60" t="s">
        <v>51</v>
      </c>
      <c r="F60">
        <v>4750</v>
      </c>
      <c r="G60">
        <v>1859</v>
      </c>
      <c r="H60">
        <v>1403</v>
      </c>
      <c r="I60">
        <v>487</v>
      </c>
    </row>
    <row r="61" spans="1:9" x14ac:dyDescent="0.35">
      <c r="A61" t="s">
        <v>81</v>
      </c>
      <c r="B61" t="s">
        <v>93</v>
      </c>
      <c r="C61" s="1" t="s">
        <v>89</v>
      </c>
      <c r="D61">
        <v>2021</v>
      </c>
      <c r="E61" t="s">
        <v>94</v>
      </c>
      <c r="F61">
        <v>4751</v>
      </c>
      <c r="G61">
        <v>1820</v>
      </c>
      <c r="H61">
        <v>1438</v>
      </c>
      <c r="I61">
        <v>455</v>
      </c>
    </row>
    <row r="62" spans="1:9" x14ac:dyDescent="0.35">
      <c r="A62" t="s">
        <v>81</v>
      </c>
      <c r="B62" t="s">
        <v>93</v>
      </c>
      <c r="C62" s="1" t="s">
        <v>89</v>
      </c>
      <c r="D62">
        <v>2021</v>
      </c>
      <c r="E62" t="s">
        <v>95</v>
      </c>
      <c r="F62">
        <v>4751</v>
      </c>
      <c r="G62">
        <v>1820</v>
      </c>
      <c r="H62">
        <v>1438</v>
      </c>
      <c r="I62">
        <v>300</v>
      </c>
    </row>
    <row r="63" spans="1:9" x14ac:dyDescent="0.35">
      <c r="A63" t="s">
        <v>96</v>
      </c>
      <c r="B63" t="s">
        <v>97</v>
      </c>
      <c r="C63" s="1" t="s">
        <v>89</v>
      </c>
      <c r="D63">
        <v>2019</v>
      </c>
      <c r="E63" t="s">
        <v>99</v>
      </c>
      <c r="F63">
        <v>4761</v>
      </c>
      <c r="G63">
        <v>1850</v>
      </c>
      <c r="H63">
        <v>1437</v>
      </c>
      <c r="I63">
        <v>442</v>
      </c>
    </row>
    <row r="64" spans="1:9" x14ac:dyDescent="0.35">
      <c r="A64" t="s">
        <v>96</v>
      </c>
      <c r="B64" t="s">
        <v>97</v>
      </c>
      <c r="C64" s="1" t="s">
        <v>89</v>
      </c>
      <c r="D64">
        <v>2019</v>
      </c>
      <c r="E64" t="s">
        <v>98</v>
      </c>
      <c r="F64">
        <v>4761</v>
      </c>
      <c r="G64">
        <v>1850</v>
      </c>
      <c r="H64">
        <v>1437</v>
      </c>
      <c r="I64">
        <v>390</v>
      </c>
    </row>
    <row r="65" spans="1:12" x14ac:dyDescent="0.35">
      <c r="A65" t="s">
        <v>37</v>
      </c>
      <c r="B65" t="s">
        <v>100</v>
      </c>
      <c r="C65" s="1" t="s">
        <v>89</v>
      </c>
      <c r="D65">
        <v>2024</v>
      </c>
      <c r="E65" t="s">
        <v>90</v>
      </c>
      <c r="F65">
        <v>4768</v>
      </c>
      <c r="G65">
        <v>1852</v>
      </c>
      <c r="H65">
        <v>1383</v>
      </c>
      <c r="I65">
        <v>440</v>
      </c>
    </row>
    <row r="66" spans="1:12" x14ac:dyDescent="0.35">
      <c r="A66" t="s">
        <v>37</v>
      </c>
      <c r="B66" t="s">
        <v>101</v>
      </c>
      <c r="C66" s="1" t="s">
        <v>89</v>
      </c>
      <c r="D66">
        <v>2022</v>
      </c>
      <c r="E66" t="s">
        <v>21</v>
      </c>
      <c r="F66">
        <v>4783</v>
      </c>
      <c r="G66">
        <v>1852</v>
      </c>
      <c r="H66">
        <v>1448</v>
      </c>
      <c r="I66">
        <v>470</v>
      </c>
    </row>
    <row r="67" spans="1:12" x14ac:dyDescent="0.35">
      <c r="A67" t="s">
        <v>102</v>
      </c>
      <c r="B67" t="s">
        <v>103</v>
      </c>
      <c r="C67" s="1" t="s">
        <v>89</v>
      </c>
      <c r="D67">
        <v>2024</v>
      </c>
      <c r="E67" t="s">
        <v>21</v>
      </c>
      <c r="F67">
        <v>4800</v>
      </c>
      <c r="G67">
        <v>1875</v>
      </c>
      <c r="H67">
        <v>1460</v>
      </c>
      <c r="I67">
        <v>455</v>
      </c>
    </row>
    <row r="68" spans="1:12" x14ac:dyDescent="0.35">
      <c r="A68" t="s">
        <v>34</v>
      </c>
      <c r="B68" t="s">
        <v>104</v>
      </c>
      <c r="C68" s="1" t="s">
        <v>89</v>
      </c>
      <c r="D68">
        <v>2022</v>
      </c>
      <c r="E68" t="s">
        <v>19</v>
      </c>
      <c r="F68">
        <v>4805</v>
      </c>
      <c r="G68">
        <v>1815</v>
      </c>
      <c r="H68">
        <v>1485</v>
      </c>
      <c r="I68">
        <v>545</v>
      </c>
    </row>
    <row r="69" spans="1:12" x14ac:dyDescent="0.35">
      <c r="A69" t="s">
        <v>34</v>
      </c>
      <c r="B69" t="s">
        <v>104</v>
      </c>
      <c r="C69" s="1" t="s">
        <v>89</v>
      </c>
      <c r="D69">
        <v>2022</v>
      </c>
      <c r="E69" t="s">
        <v>98</v>
      </c>
      <c r="F69">
        <v>4805</v>
      </c>
      <c r="G69">
        <v>1815</v>
      </c>
      <c r="H69">
        <v>1485</v>
      </c>
      <c r="I69">
        <v>485</v>
      </c>
    </row>
    <row r="70" spans="1:12" x14ac:dyDescent="0.35">
      <c r="A70" t="s">
        <v>32</v>
      </c>
      <c r="B70" t="s">
        <v>105</v>
      </c>
      <c r="C70" s="1" t="s">
        <v>89</v>
      </c>
      <c r="D70">
        <v>2025</v>
      </c>
      <c r="E70" t="s">
        <v>19</v>
      </c>
      <c r="F70">
        <v>4829</v>
      </c>
      <c r="G70">
        <v>1860</v>
      </c>
      <c r="H70">
        <v>1444</v>
      </c>
      <c r="I70">
        <v>445</v>
      </c>
    </row>
    <row r="71" spans="1:12" x14ac:dyDescent="0.35">
      <c r="A71" t="s">
        <v>32</v>
      </c>
      <c r="B71" t="s">
        <v>105</v>
      </c>
      <c r="C71" s="1" t="s">
        <v>89</v>
      </c>
      <c r="D71">
        <v>2025</v>
      </c>
      <c r="E71" t="s">
        <v>94</v>
      </c>
      <c r="F71">
        <v>4829</v>
      </c>
      <c r="G71">
        <v>1860</v>
      </c>
      <c r="H71">
        <v>1444</v>
      </c>
      <c r="I71">
        <v>417</v>
      </c>
    </row>
    <row r="72" spans="1:12" x14ac:dyDescent="0.35">
      <c r="A72" t="s">
        <v>106</v>
      </c>
      <c r="B72" t="s">
        <v>107</v>
      </c>
      <c r="C72" s="1" t="s">
        <v>89</v>
      </c>
      <c r="D72">
        <v>2020</v>
      </c>
      <c r="E72" t="s">
        <v>55</v>
      </c>
      <c r="F72">
        <v>4849</v>
      </c>
      <c r="G72">
        <v>1868</v>
      </c>
      <c r="H72">
        <v>1463</v>
      </c>
      <c r="I72">
        <v>608</v>
      </c>
    </row>
    <row r="73" spans="1:12" x14ac:dyDescent="0.35">
      <c r="A73" t="s">
        <v>29</v>
      </c>
      <c r="B73" t="s">
        <v>108</v>
      </c>
      <c r="C73" s="1" t="s">
        <v>89</v>
      </c>
      <c r="D73">
        <v>2023</v>
      </c>
      <c r="E73" t="s">
        <v>21</v>
      </c>
      <c r="F73">
        <v>4855</v>
      </c>
      <c r="G73">
        <v>1880</v>
      </c>
      <c r="H73">
        <v>1495</v>
      </c>
      <c r="I73">
        <v>446</v>
      </c>
    </row>
    <row r="74" spans="1:12" x14ac:dyDescent="0.35">
      <c r="A74" t="s">
        <v>45</v>
      </c>
      <c r="B74" t="s">
        <v>109</v>
      </c>
      <c r="C74" s="1" t="s">
        <v>89</v>
      </c>
      <c r="D74">
        <v>2021</v>
      </c>
      <c r="E74" t="s">
        <v>110</v>
      </c>
      <c r="F74">
        <v>4885</v>
      </c>
      <c r="G74">
        <v>1840</v>
      </c>
      <c r="H74">
        <v>1445</v>
      </c>
      <c r="I74">
        <v>524</v>
      </c>
      <c r="L74">
        <v>29835</v>
      </c>
    </row>
    <row r="75" spans="1:12" x14ac:dyDescent="0.35">
      <c r="A75" t="s">
        <v>7</v>
      </c>
      <c r="B75" t="s">
        <v>111</v>
      </c>
      <c r="C75" s="1" t="s">
        <v>89</v>
      </c>
      <c r="D75">
        <v>2024</v>
      </c>
      <c r="E75" t="s">
        <v>112</v>
      </c>
      <c r="F75">
        <v>4912</v>
      </c>
      <c r="G75">
        <v>1849</v>
      </c>
      <c r="H75">
        <v>1481</v>
      </c>
      <c r="I75">
        <v>645</v>
      </c>
    </row>
    <row r="76" spans="1:12" x14ac:dyDescent="0.35">
      <c r="A76" t="s">
        <v>60</v>
      </c>
      <c r="B76" t="s">
        <v>113</v>
      </c>
      <c r="C76" s="1" t="s">
        <v>89</v>
      </c>
      <c r="D76">
        <v>2025</v>
      </c>
      <c r="E76" t="s">
        <v>21</v>
      </c>
      <c r="F76">
        <v>4921</v>
      </c>
      <c r="G76">
        <v>1890</v>
      </c>
      <c r="H76">
        <v>1491</v>
      </c>
      <c r="I76">
        <v>400</v>
      </c>
    </row>
    <row r="77" spans="1:12" x14ac:dyDescent="0.35">
      <c r="A77" t="s">
        <v>32</v>
      </c>
      <c r="B77" t="s">
        <v>114</v>
      </c>
      <c r="C77" s="1" t="s">
        <v>89</v>
      </c>
      <c r="D77">
        <v>2025</v>
      </c>
      <c r="E77" t="s">
        <v>21</v>
      </c>
      <c r="F77">
        <v>4928</v>
      </c>
      <c r="G77">
        <v>1923</v>
      </c>
      <c r="H77">
        <v>1487</v>
      </c>
      <c r="I77">
        <v>529</v>
      </c>
    </row>
    <row r="78" spans="1:12" x14ac:dyDescent="0.35">
      <c r="A78" t="s">
        <v>53</v>
      </c>
      <c r="B78" t="s">
        <v>115</v>
      </c>
      <c r="C78" s="1" t="s">
        <v>89</v>
      </c>
      <c r="D78">
        <v>2020</v>
      </c>
      <c r="E78" t="s">
        <v>116</v>
      </c>
      <c r="F78">
        <v>4934</v>
      </c>
      <c r="G78">
        <v>1932</v>
      </c>
      <c r="H78">
        <v>1460</v>
      </c>
      <c r="I78">
        <v>510</v>
      </c>
    </row>
    <row r="79" spans="1:12" x14ac:dyDescent="0.35">
      <c r="A79" t="s">
        <v>32</v>
      </c>
      <c r="B79" t="s">
        <v>114</v>
      </c>
      <c r="C79" s="1" t="s">
        <v>89</v>
      </c>
      <c r="D79">
        <v>2018</v>
      </c>
      <c r="E79" t="s">
        <v>94</v>
      </c>
      <c r="F79">
        <v>4939</v>
      </c>
      <c r="G79">
        <v>1886</v>
      </c>
      <c r="H79">
        <v>1457</v>
      </c>
      <c r="I79">
        <v>530</v>
      </c>
    </row>
    <row r="80" spans="1:12" x14ac:dyDescent="0.35">
      <c r="A80" t="s">
        <v>32</v>
      </c>
      <c r="B80" t="s">
        <v>114</v>
      </c>
      <c r="C80" s="1" t="s">
        <v>89</v>
      </c>
      <c r="D80">
        <v>2018</v>
      </c>
      <c r="E80" t="s">
        <v>98</v>
      </c>
      <c r="F80">
        <v>4939</v>
      </c>
      <c r="G80">
        <v>1886</v>
      </c>
      <c r="H80">
        <v>1457</v>
      </c>
      <c r="I80">
        <v>360</v>
      </c>
    </row>
    <row r="81" spans="1:12" x14ac:dyDescent="0.35">
      <c r="A81" t="s">
        <v>81</v>
      </c>
      <c r="B81" t="s">
        <v>117</v>
      </c>
      <c r="C81" s="1" t="s">
        <v>89</v>
      </c>
      <c r="D81">
        <v>2022</v>
      </c>
      <c r="E81" t="s">
        <v>21</v>
      </c>
      <c r="F81">
        <v>4946</v>
      </c>
      <c r="G81">
        <v>1961</v>
      </c>
      <c r="H81">
        <v>1512</v>
      </c>
      <c r="I81">
        <v>430</v>
      </c>
    </row>
    <row r="82" spans="1:12" x14ac:dyDescent="0.35">
      <c r="A82" t="s">
        <v>81</v>
      </c>
      <c r="B82" t="s">
        <v>118</v>
      </c>
      <c r="C82" s="1" t="s">
        <v>89</v>
      </c>
      <c r="D82">
        <v>2023</v>
      </c>
      <c r="E82" t="s">
        <v>94</v>
      </c>
      <c r="F82">
        <v>4949</v>
      </c>
      <c r="G82">
        <v>1880</v>
      </c>
      <c r="H82">
        <v>1468</v>
      </c>
      <c r="I82">
        <v>540</v>
      </c>
    </row>
    <row r="83" spans="1:12" x14ac:dyDescent="0.35">
      <c r="A83" t="s">
        <v>81</v>
      </c>
      <c r="B83" t="s">
        <v>118</v>
      </c>
      <c r="C83" s="1" t="s">
        <v>89</v>
      </c>
      <c r="D83">
        <v>2023</v>
      </c>
      <c r="E83" t="s">
        <v>98</v>
      </c>
      <c r="F83">
        <v>4949</v>
      </c>
      <c r="G83">
        <v>1880</v>
      </c>
      <c r="H83">
        <v>1468</v>
      </c>
      <c r="I83">
        <v>370</v>
      </c>
    </row>
    <row r="84" spans="1:12" x14ac:dyDescent="0.35">
      <c r="A84" t="s">
        <v>119</v>
      </c>
      <c r="B84" t="s">
        <v>120</v>
      </c>
      <c r="C84" s="1" t="s">
        <v>89</v>
      </c>
      <c r="D84">
        <v>2024</v>
      </c>
      <c r="E84" t="s">
        <v>21</v>
      </c>
      <c r="F84">
        <v>4961</v>
      </c>
      <c r="G84">
        <v>1862</v>
      </c>
      <c r="H84">
        <v>1538</v>
      </c>
      <c r="I84">
        <v>532</v>
      </c>
    </row>
    <row r="85" spans="1:12" x14ac:dyDescent="0.35">
      <c r="A85" t="s">
        <v>78</v>
      </c>
      <c r="B85" t="s">
        <v>121</v>
      </c>
      <c r="C85" s="1" t="s">
        <v>89</v>
      </c>
      <c r="D85">
        <v>2021</v>
      </c>
      <c r="E85" t="s">
        <v>122</v>
      </c>
      <c r="F85">
        <v>4962</v>
      </c>
      <c r="G85">
        <v>1890</v>
      </c>
      <c r="H85">
        <v>1456</v>
      </c>
      <c r="I85">
        <v>344</v>
      </c>
    </row>
    <row r="86" spans="1:12" x14ac:dyDescent="0.35">
      <c r="A86" t="s">
        <v>96</v>
      </c>
      <c r="B86" t="s">
        <v>123</v>
      </c>
      <c r="C86" s="1" t="s">
        <v>89</v>
      </c>
      <c r="D86">
        <v>2020</v>
      </c>
      <c r="E86" t="s">
        <v>94</v>
      </c>
      <c r="F86">
        <v>4963</v>
      </c>
      <c r="G86">
        <v>1879</v>
      </c>
      <c r="H86">
        <v>1443</v>
      </c>
      <c r="I86">
        <v>500</v>
      </c>
    </row>
    <row r="87" spans="1:12" x14ac:dyDescent="0.35">
      <c r="A87" t="s">
        <v>96</v>
      </c>
      <c r="B87" t="s">
        <v>123</v>
      </c>
      <c r="C87" s="1" t="s">
        <v>89</v>
      </c>
      <c r="D87">
        <v>2020</v>
      </c>
      <c r="E87" t="s">
        <v>98</v>
      </c>
      <c r="F87">
        <v>4963</v>
      </c>
      <c r="G87">
        <v>1879</v>
      </c>
      <c r="H87">
        <v>1443</v>
      </c>
      <c r="I87">
        <v>500</v>
      </c>
    </row>
    <row r="88" spans="1:12" x14ac:dyDescent="0.35">
      <c r="A88" t="s">
        <v>124</v>
      </c>
      <c r="B88" t="s">
        <v>125</v>
      </c>
      <c r="C88" s="1" t="s">
        <v>89</v>
      </c>
      <c r="D88">
        <v>2024</v>
      </c>
      <c r="E88" t="s">
        <v>21</v>
      </c>
      <c r="F88">
        <v>4963</v>
      </c>
      <c r="G88">
        <v>1966</v>
      </c>
      <c r="H88">
        <v>1379</v>
      </c>
      <c r="I88">
        <v>491</v>
      </c>
    </row>
    <row r="89" spans="1:12" x14ac:dyDescent="0.35">
      <c r="A89" t="s">
        <v>91</v>
      </c>
      <c r="B89" t="s">
        <v>126</v>
      </c>
      <c r="C89" s="1" t="s">
        <v>89</v>
      </c>
      <c r="D89">
        <v>2021</v>
      </c>
      <c r="E89" t="s">
        <v>21</v>
      </c>
      <c r="F89">
        <v>4970</v>
      </c>
      <c r="G89">
        <v>1964</v>
      </c>
      <c r="H89">
        <v>1445</v>
      </c>
      <c r="I89">
        <v>793</v>
      </c>
    </row>
    <row r="90" spans="1:12" x14ac:dyDescent="0.35">
      <c r="A90" t="s">
        <v>45</v>
      </c>
      <c r="B90" t="s">
        <v>127</v>
      </c>
      <c r="C90" s="1" t="s">
        <v>89</v>
      </c>
      <c r="D90">
        <v>2021</v>
      </c>
      <c r="E90" t="s">
        <v>128</v>
      </c>
      <c r="F90">
        <v>4975</v>
      </c>
      <c r="G90">
        <v>1885</v>
      </c>
      <c r="H90">
        <v>1470</v>
      </c>
      <c r="I90">
        <v>321</v>
      </c>
    </row>
    <row r="91" spans="1:12" x14ac:dyDescent="0.35">
      <c r="A91" t="s">
        <v>129</v>
      </c>
      <c r="B91" t="s">
        <v>130</v>
      </c>
      <c r="C91" s="1" t="s">
        <v>89</v>
      </c>
      <c r="D91">
        <v>2022</v>
      </c>
      <c r="E91" t="s">
        <v>110</v>
      </c>
      <c r="F91">
        <v>4975</v>
      </c>
      <c r="G91">
        <v>1865</v>
      </c>
      <c r="H91">
        <v>1445</v>
      </c>
      <c r="I91">
        <v>454</v>
      </c>
      <c r="L91">
        <v>58000</v>
      </c>
    </row>
    <row r="92" spans="1:12" x14ac:dyDescent="0.35">
      <c r="A92" t="s">
        <v>102</v>
      </c>
      <c r="B92" t="s">
        <v>131</v>
      </c>
      <c r="C92" s="1" t="s">
        <v>89</v>
      </c>
      <c r="D92">
        <v>2023</v>
      </c>
      <c r="E92" t="s">
        <v>21</v>
      </c>
      <c r="F92">
        <v>4995</v>
      </c>
      <c r="G92">
        <v>1910</v>
      </c>
      <c r="H92">
        <v>1495</v>
      </c>
      <c r="I92">
        <v>410</v>
      </c>
    </row>
    <row r="93" spans="1:12" x14ac:dyDescent="0.35">
      <c r="A93" t="s">
        <v>32</v>
      </c>
      <c r="B93" t="s">
        <v>132</v>
      </c>
      <c r="C93" s="1" t="s">
        <v>89</v>
      </c>
      <c r="D93">
        <v>2025</v>
      </c>
      <c r="E93" t="s">
        <v>21</v>
      </c>
      <c r="F93">
        <v>4997</v>
      </c>
      <c r="G93">
        <v>1964</v>
      </c>
      <c r="H93">
        <v>1389</v>
      </c>
      <c r="I93">
        <v>486</v>
      </c>
    </row>
    <row r="94" spans="1:12" x14ac:dyDescent="0.35">
      <c r="A94" t="s">
        <v>37</v>
      </c>
      <c r="B94" t="s">
        <v>133</v>
      </c>
      <c r="C94" s="1" t="s">
        <v>89</v>
      </c>
      <c r="D94">
        <v>2024</v>
      </c>
      <c r="E94" t="s">
        <v>94</v>
      </c>
      <c r="F94">
        <v>5060</v>
      </c>
      <c r="G94">
        <v>1900</v>
      </c>
      <c r="H94">
        <v>1515</v>
      </c>
      <c r="I94">
        <v>520</v>
      </c>
    </row>
    <row r="95" spans="1:12" x14ac:dyDescent="0.35">
      <c r="A95" t="s">
        <v>37</v>
      </c>
      <c r="B95" t="s">
        <v>133</v>
      </c>
      <c r="C95" s="1" t="s">
        <v>89</v>
      </c>
      <c r="D95">
        <v>2024</v>
      </c>
      <c r="E95" t="s">
        <v>98</v>
      </c>
      <c r="F95">
        <v>5060</v>
      </c>
      <c r="G95">
        <v>1900</v>
      </c>
      <c r="H95">
        <v>1515</v>
      </c>
      <c r="I95">
        <v>490</v>
      </c>
    </row>
    <row r="96" spans="1:12" x14ac:dyDescent="0.35">
      <c r="A96" t="s">
        <v>37</v>
      </c>
      <c r="B96" t="s">
        <v>134</v>
      </c>
      <c r="C96" s="1" t="s">
        <v>135</v>
      </c>
      <c r="D96">
        <v>2018</v>
      </c>
      <c r="E96" t="s">
        <v>122</v>
      </c>
      <c r="F96">
        <v>4851</v>
      </c>
      <c r="G96">
        <v>1902</v>
      </c>
      <c r="H96">
        <v>1346</v>
      </c>
      <c r="I96">
        <v>420</v>
      </c>
    </row>
    <row r="97" spans="1:12" x14ac:dyDescent="0.35">
      <c r="A97" t="s">
        <v>32</v>
      </c>
      <c r="B97" t="s">
        <v>136</v>
      </c>
      <c r="C97" s="1" t="s">
        <v>135</v>
      </c>
      <c r="D97">
        <v>2018</v>
      </c>
      <c r="E97" t="s">
        <v>94</v>
      </c>
      <c r="F97">
        <v>4969</v>
      </c>
      <c r="G97">
        <v>1908</v>
      </c>
      <c r="H97">
        <v>1422</v>
      </c>
      <c r="I97">
        <v>535</v>
      </c>
    </row>
    <row r="98" spans="1:12" x14ac:dyDescent="0.35">
      <c r="A98" t="s">
        <v>32</v>
      </c>
      <c r="B98" t="s">
        <v>136</v>
      </c>
      <c r="C98" s="1" t="s">
        <v>135</v>
      </c>
      <c r="D98">
        <v>2018</v>
      </c>
      <c r="E98" t="s">
        <v>98</v>
      </c>
      <c r="F98">
        <v>4969</v>
      </c>
      <c r="G98">
        <v>1908</v>
      </c>
      <c r="H98">
        <v>1422</v>
      </c>
      <c r="I98">
        <v>380</v>
      </c>
    </row>
    <row r="99" spans="1:12" x14ac:dyDescent="0.35">
      <c r="A99" t="s">
        <v>137</v>
      </c>
      <c r="B99" t="s">
        <v>138</v>
      </c>
      <c r="C99" s="1" t="s">
        <v>135</v>
      </c>
      <c r="D99">
        <v>2021</v>
      </c>
      <c r="E99" t="s">
        <v>139</v>
      </c>
      <c r="F99">
        <v>4971</v>
      </c>
      <c r="G99">
        <v>1945</v>
      </c>
      <c r="H99">
        <v>1461</v>
      </c>
      <c r="I99">
        <v>500</v>
      </c>
    </row>
    <row r="100" spans="1:12" x14ac:dyDescent="0.35">
      <c r="A100" t="s">
        <v>81</v>
      </c>
      <c r="B100" t="s">
        <v>140</v>
      </c>
      <c r="C100" s="1" t="s">
        <v>135</v>
      </c>
      <c r="D100">
        <v>2021</v>
      </c>
      <c r="E100" t="s">
        <v>141</v>
      </c>
      <c r="F100">
        <v>4988</v>
      </c>
      <c r="G100">
        <v>1890</v>
      </c>
      <c r="H100">
        <v>1435</v>
      </c>
      <c r="I100">
        <v>520</v>
      </c>
    </row>
    <row r="101" spans="1:12" x14ac:dyDescent="0.35">
      <c r="A101" t="s">
        <v>124</v>
      </c>
      <c r="B101" t="s">
        <v>142</v>
      </c>
      <c r="C101" s="1" t="s">
        <v>135</v>
      </c>
      <c r="D101">
        <v>2024</v>
      </c>
      <c r="E101" t="s">
        <v>19</v>
      </c>
      <c r="F101">
        <v>5052</v>
      </c>
      <c r="G101">
        <v>1937</v>
      </c>
      <c r="H101">
        <v>1423</v>
      </c>
      <c r="I101">
        <v>494</v>
      </c>
    </row>
    <row r="102" spans="1:12" x14ac:dyDescent="0.35">
      <c r="A102" t="s">
        <v>124</v>
      </c>
      <c r="B102" t="s">
        <v>142</v>
      </c>
      <c r="C102" s="1" t="s">
        <v>135</v>
      </c>
      <c r="D102">
        <v>2024</v>
      </c>
      <c r="E102" t="s">
        <v>98</v>
      </c>
      <c r="F102">
        <v>5052</v>
      </c>
      <c r="G102">
        <v>1937</v>
      </c>
      <c r="H102">
        <v>1423</v>
      </c>
      <c r="I102">
        <v>430</v>
      </c>
    </row>
    <row r="103" spans="1:12" x14ac:dyDescent="0.35">
      <c r="A103" t="s">
        <v>37</v>
      </c>
      <c r="B103" t="s">
        <v>143</v>
      </c>
      <c r="C103" s="1" t="s">
        <v>135</v>
      </c>
      <c r="D103">
        <v>2020</v>
      </c>
      <c r="E103" t="s">
        <v>122</v>
      </c>
      <c r="F103">
        <v>5082</v>
      </c>
      <c r="G103">
        <v>1932</v>
      </c>
      <c r="H103">
        <v>1407</v>
      </c>
      <c r="I103">
        <v>440</v>
      </c>
    </row>
    <row r="104" spans="1:12" x14ac:dyDescent="0.35">
      <c r="A104" t="s">
        <v>78</v>
      </c>
      <c r="B104" t="s">
        <v>144</v>
      </c>
      <c r="C104" s="1" t="s">
        <v>135</v>
      </c>
      <c r="D104">
        <v>2015</v>
      </c>
      <c r="E104" t="s">
        <v>145</v>
      </c>
      <c r="F104">
        <v>5130</v>
      </c>
      <c r="G104">
        <v>1899</v>
      </c>
      <c r="H104">
        <v>1460</v>
      </c>
      <c r="I104">
        <v>478</v>
      </c>
    </row>
    <row r="105" spans="1:12" x14ac:dyDescent="0.35">
      <c r="A105" t="s">
        <v>81</v>
      </c>
      <c r="B105" t="s">
        <v>146</v>
      </c>
      <c r="C105" s="1" t="s">
        <v>135</v>
      </c>
      <c r="D105">
        <v>2021</v>
      </c>
      <c r="E105" t="s">
        <v>147</v>
      </c>
      <c r="F105">
        <v>5179</v>
      </c>
      <c r="G105">
        <v>1954</v>
      </c>
      <c r="H105">
        <v>1503</v>
      </c>
      <c r="I105">
        <v>550</v>
      </c>
    </row>
    <row r="106" spans="1:12" x14ac:dyDescent="0.35">
      <c r="A106" t="s">
        <v>81</v>
      </c>
      <c r="B106" t="s">
        <v>146</v>
      </c>
      <c r="C106" s="1" t="s">
        <v>135</v>
      </c>
      <c r="D106">
        <v>2021</v>
      </c>
      <c r="E106" t="s">
        <v>98</v>
      </c>
      <c r="F106">
        <v>5179</v>
      </c>
      <c r="G106">
        <v>1954</v>
      </c>
      <c r="H106">
        <v>1503</v>
      </c>
      <c r="I106">
        <v>350</v>
      </c>
    </row>
    <row r="107" spans="1:12" x14ac:dyDescent="0.35">
      <c r="A107" t="s">
        <v>32</v>
      </c>
      <c r="B107" t="s">
        <v>148</v>
      </c>
      <c r="C107" s="1" t="s">
        <v>135</v>
      </c>
      <c r="D107">
        <v>2022</v>
      </c>
      <c r="E107" t="s">
        <v>94</v>
      </c>
      <c r="F107">
        <v>5190</v>
      </c>
      <c r="G107">
        <v>1954</v>
      </c>
      <c r="H107">
        <v>1473</v>
      </c>
      <c r="I107">
        <v>505</v>
      </c>
    </row>
    <row r="108" spans="1:12" x14ac:dyDescent="0.35">
      <c r="A108" t="s">
        <v>32</v>
      </c>
      <c r="B108" t="s">
        <v>148</v>
      </c>
      <c r="C108" s="1" t="s">
        <v>135</v>
      </c>
      <c r="D108">
        <v>2022</v>
      </c>
      <c r="E108" t="s">
        <v>98</v>
      </c>
      <c r="F108">
        <v>5190</v>
      </c>
      <c r="G108">
        <v>1954</v>
      </c>
      <c r="H108">
        <v>1473</v>
      </c>
      <c r="I108">
        <v>390</v>
      </c>
    </row>
    <row r="109" spans="1:12" x14ac:dyDescent="0.35">
      <c r="A109" t="s">
        <v>81</v>
      </c>
      <c r="B109" t="s">
        <v>149</v>
      </c>
      <c r="C109" s="1" t="s">
        <v>135</v>
      </c>
      <c r="D109">
        <v>2022</v>
      </c>
      <c r="E109" t="s">
        <v>21</v>
      </c>
      <c r="F109">
        <v>5261</v>
      </c>
      <c r="G109">
        <v>1926</v>
      </c>
      <c r="H109">
        <v>1512</v>
      </c>
      <c r="I109">
        <v>610</v>
      </c>
    </row>
    <row r="110" spans="1:12" x14ac:dyDescent="0.35">
      <c r="A110" t="s">
        <v>129</v>
      </c>
      <c r="B110" t="s">
        <v>150</v>
      </c>
      <c r="C110" s="1" t="s">
        <v>135</v>
      </c>
      <c r="D110">
        <v>2021</v>
      </c>
      <c r="E110" t="s">
        <v>110</v>
      </c>
      <c r="F110">
        <v>5235</v>
      </c>
      <c r="G110">
        <v>1900</v>
      </c>
      <c r="H110">
        <v>1460</v>
      </c>
      <c r="I110">
        <v>430</v>
      </c>
      <c r="L110">
        <v>139000</v>
      </c>
    </row>
    <row r="111" spans="1:12" x14ac:dyDescent="0.35">
      <c r="A111" t="s">
        <v>137</v>
      </c>
      <c r="B111" t="s">
        <v>151</v>
      </c>
      <c r="C111" s="1" t="s">
        <v>135</v>
      </c>
      <c r="D111">
        <v>2021</v>
      </c>
      <c r="E111" t="s">
        <v>19</v>
      </c>
      <c r="F111">
        <v>5262</v>
      </c>
      <c r="G111">
        <v>1948</v>
      </c>
      <c r="H111">
        <v>1481</v>
      </c>
      <c r="I111">
        <v>530</v>
      </c>
    </row>
    <row r="112" spans="1:12" x14ac:dyDescent="0.35">
      <c r="A112" t="s">
        <v>152</v>
      </c>
      <c r="B112" t="s">
        <v>153</v>
      </c>
      <c r="C112" s="1" t="s">
        <v>135</v>
      </c>
      <c r="D112">
        <v>2020</v>
      </c>
      <c r="E112" t="s">
        <v>19</v>
      </c>
      <c r="F112">
        <v>5316</v>
      </c>
      <c r="G112">
        <v>1978</v>
      </c>
      <c r="H112">
        <v>1484</v>
      </c>
      <c r="I112">
        <v>420</v>
      </c>
    </row>
    <row r="113" spans="1:9" x14ac:dyDescent="0.35">
      <c r="A113" t="s">
        <v>152</v>
      </c>
      <c r="B113" t="s">
        <v>153</v>
      </c>
      <c r="C113" s="1" t="s">
        <v>135</v>
      </c>
      <c r="D113">
        <v>2020</v>
      </c>
      <c r="E113" t="s">
        <v>98</v>
      </c>
      <c r="F113">
        <v>5316</v>
      </c>
      <c r="G113">
        <v>1978</v>
      </c>
      <c r="H113">
        <v>1484</v>
      </c>
      <c r="I113">
        <v>351</v>
      </c>
    </row>
    <row r="114" spans="1:9" x14ac:dyDescent="0.35">
      <c r="A114" t="s">
        <v>37</v>
      </c>
      <c r="B114" t="s">
        <v>154</v>
      </c>
      <c r="C114" s="1" t="s">
        <v>135</v>
      </c>
      <c r="D114">
        <v>2023</v>
      </c>
      <c r="E114" t="s">
        <v>155</v>
      </c>
      <c r="F114">
        <v>5391</v>
      </c>
      <c r="G114">
        <v>1950</v>
      </c>
      <c r="H114">
        <v>1544</v>
      </c>
      <c r="I114">
        <v>540</v>
      </c>
    </row>
    <row r="115" spans="1:9" x14ac:dyDescent="0.35">
      <c r="A115" t="s">
        <v>156</v>
      </c>
      <c r="B115" t="s">
        <v>157</v>
      </c>
      <c r="C115" s="1" t="s">
        <v>135</v>
      </c>
      <c r="D115">
        <v>2024</v>
      </c>
      <c r="E115" t="s">
        <v>21</v>
      </c>
      <c r="F115">
        <v>5490</v>
      </c>
      <c r="G115">
        <v>2015</v>
      </c>
      <c r="H115">
        <v>1575</v>
      </c>
      <c r="I115">
        <v>380</v>
      </c>
    </row>
    <row r="116" spans="1:9" x14ac:dyDescent="0.35">
      <c r="A116" t="s">
        <v>156</v>
      </c>
      <c r="B116" t="s">
        <v>158</v>
      </c>
      <c r="C116" s="1" t="s">
        <v>135</v>
      </c>
      <c r="D116">
        <v>2025</v>
      </c>
      <c r="E116" t="s">
        <v>19</v>
      </c>
      <c r="F116">
        <v>5545</v>
      </c>
      <c r="G116">
        <v>1998</v>
      </c>
      <c r="H116">
        <v>1573</v>
      </c>
      <c r="I116">
        <v>464</v>
      </c>
    </row>
    <row r="117" spans="1:9" x14ac:dyDescent="0.35">
      <c r="A117" t="s">
        <v>156</v>
      </c>
      <c r="B117" t="s">
        <v>159</v>
      </c>
      <c r="C117" s="1" t="s">
        <v>135</v>
      </c>
      <c r="D117">
        <v>2018</v>
      </c>
      <c r="E117" t="s">
        <v>19</v>
      </c>
      <c r="F117">
        <v>5762</v>
      </c>
      <c r="G117">
        <v>2018</v>
      </c>
      <c r="H117">
        <v>1646</v>
      </c>
      <c r="I117">
        <v>494</v>
      </c>
    </row>
    <row r="118" spans="1:9" x14ac:dyDescent="0.35">
      <c r="A118" t="s">
        <v>34</v>
      </c>
      <c r="B118" t="s">
        <v>160</v>
      </c>
      <c r="C118" s="1" t="s">
        <v>161</v>
      </c>
      <c r="D118">
        <v>2021</v>
      </c>
      <c r="E118" t="s">
        <v>21</v>
      </c>
      <c r="F118">
        <v>2410</v>
      </c>
      <c r="G118">
        <v>1390</v>
      </c>
      <c r="H118">
        <v>1520</v>
      </c>
      <c r="I118">
        <v>63</v>
      </c>
    </row>
    <row r="119" spans="1:9" x14ac:dyDescent="0.35">
      <c r="A119" t="s">
        <v>162</v>
      </c>
      <c r="B119" t="s">
        <v>163</v>
      </c>
      <c r="C119" s="1" t="s">
        <v>161</v>
      </c>
      <c r="D119">
        <v>2023</v>
      </c>
      <c r="E119" t="s">
        <v>21</v>
      </c>
      <c r="F119">
        <v>2430</v>
      </c>
      <c r="G119">
        <v>1300</v>
      </c>
      <c r="H119">
        <v>1460</v>
      </c>
      <c r="I119">
        <v>0</v>
      </c>
    </row>
    <row r="120" spans="1:9" x14ac:dyDescent="0.35">
      <c r="A120" t="s">
        <v>43</v>
      </c>
      <c r="B120" t="s">
        <v>164</v>
      </c>
      <c r="C120" s="1" t="s">
        <v>161</v>
      </c>
      <c r="D120">
        <v>2024</v>
      </c>
      <c r="E120" t="s">
        <v>21</v>
      </c>
      <c r="F120">
        <v>2530</v>
      </c>
      <c r="G120">
        <v>1390</v>
      </c>
      <c r="H120">
        <v>1520</v>
      </c>
      <c r="I120">
        <v>63</v>
      </c>
    </row>
    <row r="121" spans="1:9" x14ac:dyDescent="0.35">
      <c r="A121" t="s">
        <v>43</v>
      </c>
      <c r="B121" s="2" t="s">
        <v>382</v>
      </c>
      <c r="C121" s="1" t="s">
        <v>161</v>
      </c>
      <c r="D121">
        <v>2021</v>
      </c>
      <c r="E121" t="s">
        <v>21</v>
      </c>
      <c r="F121">
        <v>3632</v>
      </c>
      <c r="G121">
        <v>1683</v>
      </c>
      <c r="H121">
        <v>1527</v>
      </c>
      <c r="I121">
        <v>185</v>
      </c>
    </row>
    <row r="122" spans="1:9" x14ac:dyDescent="0.35">
      <c r="A122" t="s">
        <v>24</v>
      </c>
      <c r="B122" t="s">
        <v>165</v>
      </c>
      <c r="C122" s="1" t="s">
        <v>161</v>
      </c>
      <c r="D122">
        <v>2024</v>
      </c>
      <c r="E122" t="s">
        <v>19</v>
      </c>
      <c r="F122">
        <v>3605</v>
      </c>
      <c r="G122">
        <v>1595</v>
      </c>
      <c r="H122">
        <v>1485</v>
      </c>
      <c r="I122">
        <v>255</v>
      </c>
    </row>
    <row r="123" spans="1:9" x14ac:dyDescent="0.35">
      <c r="A123" t="s">
        <v>43</v>
      </c>
      <c r="B123" s="2" t="s">
        <v>382</v>
      </c>
      <c r="C123" s="1" t="s">
        <v>161</v>
      </c>
      <c r="D123">
        <v>2015</v>
      </c>
      <c r="E123" t="s">
        <v>139</v>
      </c>
      <c r="F123">
        <v>3571</v>
      </c>
      <c r="G123">
        <v>1627</v>
      </c>
      <c r="H123">
        <v>1488</v>
      </c>
      <c r="I123">
        <v>185</v>
      </c>
    </row>
    <row r="124" spans="1:9" x14ac:dyDescent="0.35">
      <c r="A124" t="s">
        <v>29</v>
      </c>
      <c r="B124" t="s">
        <v>166</v>
      </c>
      <c r="C124" s="1" t="s">
        <v>161</v>
      </c>
      <c r="D124">
        <v>2023</v>
      </c>
      <c r="E124" t="s">
        <v>19</v>
      </c>
      <c r="F124">
        <v>3670</v>
      </c>
      <c r="G124">
        <v>1680</v>
      </c>
      <c r="H124">
        <v>1480</v>
      </c>
      <c r="I124">
        <v>252</v>
      </c>
    </row>
    <row r="125" spans="1:9" x14ac:dyDescent="0.35">
      <c r="A125" t="s">
        <v>43</v>
      </c>
      <c r="B125" t="s">
        <v>167</v>
      </c>
      <c r="C125" s="1" t="s">
        <v>161</v>
      </c>
      <c r="D125">
        <v>2021</v>
      </c>
      <c r="E125" t="s">
        <v>99</v>
      </c>
      <c r="F125">
        <v>3686</v>
      </c>
      <c r="G125">
        <v>1672</v>
      </c>
      <c r="H125">
        <v>1551</v>
      </c>
      <c r="I125">
        <v>225</v>
      </c>
    </row>
    <row r="126" spans="1:9" x14ac:dyDescent="0.35">
      <c r="A126" t="s">
        <v>43</v>
      </c>
      <c r="B126" s="2" t="s">
        <v>381</v>
      </c>
      <c r="C126" s="1" t="s">
        <v>161</v>
      </c>
      <c r="D126">
        <v>2024</v>
      </c>
      <c r="E126" t="s">
        <v>99</v>
      </c>
      <c r="F126">
        <v>4171</v>
      </c>
      <c r="G126">
        <v>1781</v>
      </c>
      <c r="H126">
        <v>1523</v>
      </c>
      <c r="I126">
        <v>385</v>
      </c>
    </row>
    <row r="127" spans="1:9" x14ac:dyDescent="0.35">
      <c r="A127" t="s">
        <v>43</v>
      </c>
      <c r="B127" s="2" t="s">
        <v>381</v>
      </c>
      <c r="C127" s="1" t="s">
        <v>161</v>
      </c>
      <c r="D127">
        <v>2024</v>
      </c>
      <c r="E127" t="s">
        <v>21</v>
      </c>
      <c r="F127">
        <v>4171</v>
      </c>
      <c r="G127">
        <v>1781</v>
      </c>
      <c r="H127">
        <v>1523</v>
      </c>
      <c r="I127">
        <v>360</v>
      </c>
    </row>
    <row r="128" spans="1:9" x14ac:dyDescent="0.35">
      <c r="A128" t="s">
        <v>45</v>
      </c>
      <c r="B128" t="s">
        <v>168</v>
      </c>
      <c r="C128" s="1" t="s">
        <v>169</v>
      </c>
      <c r="D128">
        <v>2022</v>
      </c>
      <c r="E128" t="s">
        <v>19</v>
      </c>
      <c r="F128">
        <v>3700</v>
      </c>
      <c r="G128">
        <v>1740</v>
      </c>
      <c r="H128">
        <v>1510</v>
      </c>
      <c r="I128">
        <v>231</v>
      </c>
    </row>
    <row r="129" spans="1:12" x14ac:dyDescent="0.35">
      <c r="A129" t="s">
        <v>170</v>
      </c>
      <c r="B129" t="s">
        <v>171</v>
      </c>
      <c r="C129" s="1" t="s">
        <v>169</v>
      </c>
      <c r="D129">
        <v>2020</v>
      </c>
      <c r="E129" t="s">
        <v>19</v>
      </c>
      <c r="F129">
        <v>3845</v>
      </c>
      <c r="G129">
        <v>1665</v>
      </c>
      <c r="H129">
        <v>1505</v>
      </c>
      <c r="I129">
        <v>209</v>
      </c>
    </row>
    <row r="130" spans="1:12" x14ac:dyDescent="0.35">
      <c r="A130" t="s">
        <v>172</v>
      </c>
      <c r="B130" t="s">
        <v>173</v>
      </c>
      <c r="C130" s="1" t="s">
        <v>169</v>
      </c>
      <c r="D130">
        <v>2024</v>
      </c>
      <c r="E130" t="s">
        <v>99</v>
      </c>
      <c r="F130">
        <v>3860</v>
      </c>
      <c r="G130">
        <v>1735</v>
      </c>
      <c r="H130">
        <v>1495</v>
      </c>
      <c r="I130">
        <v>265</v>
      </c>
    </row>
    <row r="131" spans="1:12" x14ac:dyDescent="0.35">
      <c r="A131" t="s">
        <v>12</v>
      </c>
      <c r="B131" t="s">
        <v>174</v>
      </c>
      <c r="C131" s="1" t="s">
        <v>169</v>
      </c>
      <c r="D131">
        <v>2024</v>
      </c>
      <c r="E131" t="s">
        <v>19</v>
      </c>
      <c r="F131">
        <v>3876</v>
      </c>
      <c r="G131">
        <v>1744</v>
      </c>
      <c r="H131">
        <v>1432</v>
      </c>
      <c r="I131">
        <v>210</v>
      </c>
    </row>
    <row r="132" spans="1:12" x14ac:dyDescent="0.35">
      <c r="A132" t="s">
        <v>12</v>
      </c>
      <c r="B132" t="s">
        <v>174</v>
      </c>
      <c r="C132" s="1" t="s">
        <v>169</v>
      </c>
      <c r="D132">
        <v>2024</v>
      </c>
      <c r="E132" t="s">
        <v>21</v>
      </c>
      <c r="F132">
        <v>3876</v>
      </c>
      <c r="G132">
        <v>1744</v>
      </c>
      <c r="H132">
        <v>1432</v>
      </c>
      <c r="I132">
        <v>210</v>
      </c>
    </row>
    <row r="133" spans="1:12" x14ac:dyDescent="0.35">
      <c r="A133" t="s">
        <v>68</v>
      </c>
      <c r="B133" t="s">
        <v>175</v>
      </c>
      <c r="C133" s="1" t="s">
        <v>169</v>
      </c>
      <c r="D133">
        <v>2020</v>
      </c>
      <c r="E133" t="s">
        <v>21</v>
      </c>
      <c r="F133">
        <v>3894</v>
      </c>
      <c r="G133">
        <v>1752</v>
      </c>
      <c r="H133">
        <v>1512</v>
      </c>
      <c r="I133">
        <v>171</v>
      </c>
    </row>
    <row r="134" spans="1:12" x14ac:dyDescent="0.35">
      <c r="A134" t="s">
        <v>106</v>
      </c>
      <c r="B134" t="s">
        <v>176</v>
      </c>
      <c r="C134" s="1" t="s">
        <v>169</v>
      </c>
      <c r="D134">
        <v>2024</v>
      </c>
      <c r="E134" t="s">
        <v>21</v>
      </c>
      <c r="F134">
        <v>3922</v>
      </c>
      <c r="G134">
        <v>1774</v>
      </c>
      <c r="H134">
        <v>1498</v>
      </c>
      <c r="I134">
        <v>277</v>
      </c>
    </row>
    <row r="135" spans="1:12" x14ac:dyDescent="0.35">
      <c r="A135" t="s">
        <v>45</v>
      </c>
      <c r="B135" t="s">
        <v>177</v>
      </c>
      <c r="C135" s="1" t="s">
        <v>169</v>
      </c>
      <c r="D135">
        <v>2024</v>
      </c>
      <c r="E135" t="s">
        <v>110</v>
      </c>
      <c r="F135">
        <v>3940</v>
      </c>
      <c r="G135">
        <v>1745</v>
      </c>
      <c r="H135">
        <v>1500</v>
      </c>
      <c r="I135">
        <v>286</v>
      </c>
      <c r="L135">
        <v>21900</v>
      </c>
    </row>
    <row r="136" spans="1:12" x14ac:dyDescent="0.35">
      <c r="A136" t="s">
        <v>60</v>
      </c>
      <c r="B136" t="s">
        <v>178</v>
      </c>
      <c r="C136" s="1" t="s">
        <v>169</v>
      </c>
      <c r="D136">
        <v>2024</v>
      </c>
      <c r="E136" t="s">
        <v>110</v>
      </c>
      <c r="F136">
        <v>3940</v>
      </c>
      <c r="G136">
        <v>1745</v>
      </c>
      <c r="H136">
        <v>1500</v>
      </c>
      <c r="I136">
        <v>286</v>
      </c>
      <c r="L136">
        <v>25850</v>
      </c>
    </row>
    <row r="137" spans="1:12" x14ac:dyDescent="0.35">
      <c r="A137" t="s">
        <v>62</v>
      </c>
      <c r="B137" t="s">
        <v>179</v>
      </c>
      <c r="C137" s="1" t="s">
        <v>169</v>
      </c>
      <c r="D137">
        <v>2021</v>
      </c>
      <c r="E137" t="s">
        <v>19</v>
      </c>
      <c r="F137">
        <v>3999</v>
      </c>
      <c r="G137">
        <v>1743</v>
      </c>
      <c r="H137">
        <v>1455</v>
      </c>
      <c r="I137">
        <v>300</v>
      </c>
    </row>
    <row r="138" spans="1:12" x14ac:dyDescent="0.35">
      <c r="A138" t="s">
        <v>37</v>
      </c>
      <c r="B138" t="s">
        <v>180</v>
      </c>
      <c r="C138" s="1" t="s">
        <v>169</v>
      </c>
      <c r="D138">
        <v>2018</v>
      </c>
      <c r="E138" t="s">
        <v>21</v>
      </c>
      <c r="F138">
        <v>4011</v>
      </c>
      <c r="G138">
        <v>1775</v>
      </c>
      <c r="H138">
        <v>1578</v>
      </c>
      <c r="I138">
        <v>260</v>
      </c>
    </row>
    <row r="139" spans="1:12" x14ac:dyDescent="0.35">
      <c r="A139" t="s">
        <v>34</v>
      </c>
      <c r="B139" t="s">
        <v>181</v>
      </c>
      <c r="C139" s="1" t="s">
        <v>169</v>
      </c>
      <c r="D139">
        <v>2024</v>
      </c>
      <c r="E139" t="s">
        <v>19</v>
      </c>
      <c r="F139">
        <v>4015</v>
      </c>
      <c r="G139">
        <v>1755</v>
      </c>
      <c r="H139">
        <v>1577</v>
      </c>
      <c r="I139">
        <v>310</v>
      </c>
    </row>
    <row r="140" spans="1:12" x14ac:dyDescent="0.35">
      <c r="A140" t="s">
        <v>34</v>
      </c>
      <c r="B140" t="s">
        <v>181</v>
      </c>
      <c r="C140" s="1" t="s">
        <v>169</v>
      </c>
      <c r="D140">
        <v>2024</v>
      </c>
      <c r="E140" t="s">
        <v>21</v>
      </c>
      <c r="F140">
        <v>4015</v>
      </c>
      <c r="G140">
        <v>1755</v>
      </c>
      <c r="H140">
        <v>1577</v>
      </c>
      <c r="I140">
        <v>310</v>
      </c>
    </row>
    <row r="141" spans="1:12" x14ac:dyDescent="0.35">
      <c r="A141" t="s">
        <v>12</v>
      </c>
      <c r="B141" t="s">
        <v>182</v>
      </c>
      <c r="C141" s="1" t="s">
        <v>169</v>
      </c>
      <c r="D141">
        <v>2021</v>
      </c>
      <c r="E141" t="s">
        <v>19</v>
      </c>
      <c r="F141">
        <v>4023</v>
      </c>
      <c r="G141">
        <v>1727</v>
      </c>
      <c r="H141">
        <v>1425</v>
      </c>
      <c r="I141">
        <v>278</v>
      </c>
    </row>
    <row r="142" spans="1:12" x14ac:dyDescent="0.35">
      <c r="A142" t="s">
        <v>32</v>
      </c>
      <c r="B142" t="s">
        <v>183</v>
      </c>
      <c r="C142" s="1" t="s">
        <v>169</v>
      </c>
      <c r="D142">
        <v>2019</v>
      </c>
      <c r="E142" t="s">
        <v>19</v>
      </c>
      <c r="F142">
        <v>4029</v>
      </c>
      <c r="G142">
        <v>1740</v>
      </c>
      <c r="H142">
        <v>1409</v>
      </c>
      <c r="I142">
        <v>335</v>
      </c>
    </row>
    <row r="143" spans="1:12" x14ac:dyDescent="0.35">
      <c r="A143" t="s">
        <v>49</v>
      </c>
      <c r="B143" t="s">
        <v>184</v>
      </c>
      <c r="C143" s="1" t="s">
        <v>169</v>
      </c>
      <c r="D143">
        <v>2022</v>
      </c>
      <c r="E143" t="s">
        <v>139</v>
      </c>
      <c r="F143">
        <v>4040</v>
      </c>
      <c r="G143">
        <v>1735</v>
      </c>
      <c r="H143">
        <v>1476</v>
      </c>
      <c r="I143">
        <v>311</v>
      </c>
    </row>
    <row r="144" spans="1:12" x14ac:dyDescent="0.35">
      <c r="A144" t="s">
        <v>68</v>
      </c>
      <c r="B144" t="s">
        <v>185</v>
      </c>
      <c r="C144" s="1" t="s">
        <v>169</v>
      </c>
      <c r="D144">
        <v>2023</v>
      </c>
      <c r="E144" t="s">
        <v>110</v>
      </c>
      <c r="F144">
        <v>4044</v>
      </c>
      <c r="G144">
        <v>1694</v>
      </c>
      <c r="H144">
        <v>1526</v>
      </c>
      <c r="I144">
        <v>304</v>
      </c>
      <c r="L144">
        <v>26000</v>
      </c>
    </row>
    <row r="145" spans="1:12" x14ac:dyDescent="0.35">
      <c r="A145" t="s">
        <v>119</v>
      </c>
      <c r="B145" t="s">
        <v>186</v>
      </c>
      <c r="C145" s="1" t="s">
        <v>169</v>
      </c>
      <c r="D145">
        <v>2025</v>
      </c>
      <c r="E145" t="s">
        <v>21</v>
      </c>
      <c r="F145">
        <v>4050</v>
      </c>
      <c r="G145">
        <v>1812</v>
      </c>
      <c r="H145">
        <v>1530</v>
      </c>
      <c r="I145">
        <v>490</v>
      </c>
    </row>
    <row r="146" spans="1:12" x14ac:dyDescent="0.35">
      <c r="A146" t="s">
        <v>106</v>
      </c>
      <c r="B146" t="s">
        <v>187</v>
      </c>
      <c r="C146" s="1" t="s">
        <v>169</v>
      </c>
      <c r="D146">
        <v>2023</v>
      </c>
      <c r="E146" t="s">
        <v>20</v>
      </c>
      <c r="F146">
        <v>4053</v>
      </c>
      <c r="G146">
        <v>1798</v>
      </c>
      <c r="H146">
        <v>1439</v>
      </c>
      <c r="I146">
        <v>340</v>
      </c>
    </row>
    <row r="147" spans="1:12" x14ac:dyDescent="0.35">
      <c r="A147" t="s">
        <v>106</v>
      </c>
      <c r="B147" t="s">
        <v>187</v>
      </c>
      <c r="C147" s="1" t="s">
        <v>169</v>
      </c>
      <c r="D147">
        <v>2023</v>
      </c>
      <c r="E147" t="s">
        <v>110</v>
      </c>
      <c r="F147">
        <v>4053</v>
      </c>
      <c r="G147">
        <v>1798</v>
      </c>
      <c r="H147">
        <v>1439</v>
      </c>
      <c r="I147">
        <v>254</v>
      </c>
      <c r="L147">
        <v>22165</v>
      </c>
    </row>
    <row r="148" spans="1:12" x14ac:dyDescent="0.35">
      <c r="A148" t="s">
        <v>170</v>
      </c>
      <c r="B148" t="s">
        <v>188</v>
      </c>
      <c r="C148" s="1" t="s">
        <v>169</v>
      </c>
      <c r="D148">
        <v>2024</v>
      </c>
      <c r="E148" t="s">
        <v>19</v>
      </c>
      <c r="F148">
        <v>4053</v>
      </c>
      <c r="G148">
        <v>1798</v>
      </c>
      <c r="H148">
        <v>1439</v>
      </c>
      <c r="I148">
        <v>340</v>
      </c>
    </row>
    <row r="149" spans="1:12" x14ac:dyDescent="0.35">
      <c r="A149" t="s">
        <v>170</v>
      </c>
      <c r="B149" t="s">
        <v>188</v>
      </c>
      <c r="C149" s="1" t="s">
        <v>169</v>
      </c>
      <c r="D149">
        <v>2024</v>
      </c>
      <c r="E149" t="s">
        <v>110</v>
      </c>
      <c r="F149">
        <v>4053</v>
      </c>
      <c r="G149">
        <v>1798</v>
      </c>
      <c r="H149">
        <v>1439</v>
      </c>
      <c r="I149">
        <v>254</v>
      </c>
      <c r="L149">
        <v>26550</v>
      </c>
    </row>
    <row r="150" spans="1:12" x14ac:dyDescent="0.35">
      <c r="A150" t="s">
        <v>40</v>
      </c>
      <c r="B150" s="2" t="s">
        <v>380</v>
      </c>
      <c r="C150" s="1" t="s">
        <v>169</v>
      </c>
      <c r="D150">
        <v>2024</v>
      </c>
      <c r="E150" t="s">
        <v>139</v>
      </c>
      <c r="F150">
        <v>4055</v>
      </c>
      <c r="G150">
        <v>1745</v>
      </c>
      <c r="H150">
        <v>1430</v>
      </c>
      <c r="I150">
        <v>309</v>
      </c>
    </row>
    <row r="151" spans="1:12" x14ac:dyDescent="0.35">
      <c r="A151" t="s">
        <v>40</v>
      </c>
      <c r="B151" s="2" t="s">
        <v>380</v>
      </c>
      <c r="C151" s="1" t="s">
        <v>169</v>
      </c>
      <c r="D151">
        <v>2024</v>
      </c>
      <c r="E151" t="s">
        <v>21</v>
      </c>
      <c r="F151">
        <v>4055</v>
      </c>
      <c r="G151">
        <v>1745</v>
      </c>
      <c r="H151">
        <v>1430</v>
      </c>
      <c r="I151">
        <v>265</v>
      </c>
    </row>
    <row r="152" spans="1:12" x14ac:dyDescent="0.35">
      <c r="A152" t="s">
        <v>41</v>
      </c>
      <c r="B152" t="s">
        <v>189</v>
      </c>
      <c r="C152" s="1" t="s">
        <v>169</v>
      </c>
      <c r="D152">
        <v>2021</v>
      </c>
      <c r="E152" t="s">
        <v>19</v>
      </c>
      <c r="F152">
        <v>4059</v>
      </c>
      <c r="G152">
        <v>1780</v>
      </c>
      <c r="H152">
        <v>1447</v>
      </c>
      <c r="I152">
        <v>355</v>
      </c>
    </row>
    <row r="153" spans="1:12" x14ac:dyDescent="0.35">
      <c r="A153" t="s">
        <v>47</v>
      </c>
      <c r="B153" t="s">
        <v>190</v>
      </c>
      <c r="C153" s="1" t="s">
        <v>169</v>
      </c>
      <c r="D153">
        <v>2024</v>
      </c>
      <c r="E153" t="s">
        <v>139</v>
      </c>
      <c r="F153">
        <v>4060</v>
      </c>
      <c r="G153">
        <v>1765</v>
      </c>
      <c r="H153">
        <v>1433</v>
      </c>
      <c r="I153">
        <v>309</v>
      </c>
    </row>
    <row r="154" spans="1:12" x14ac:dyDescent="0.35">
      <c r="A154" t="s">
        <v>47</v>
      </c>
      <c r="B154" t="s">
        <v>190</v>
      </c>
      <c r="C154" s="1" t="s">
        <v>169</v>
      </c>
      <c r="D154">
        <v>2024</v>
      </c>
      <c r="E154" t="s">
        <v>21</v>
      </c>
      <c r="F154">
        <v>4060</v>
      </c>
      <c r="G154">
        <v>1765</v>
      </c>
      <c r="H154">
        <v>1433</v>
      </c>
      <c r="I154">
        <v>267</v>
      </c>
    </row>
    <row r="155" spans="1:12" x14ac:dyDescent="0.35">
      <c r="A155" t="s">
        <v>29</v>
      </c>
      <c r="B155" t="s">
        <v>191</v>
      </c>
      <c r="C155" s="1" t="s">
        <v>169</v>
      </c>
      <c r="D155">
        <v>2023</v>
      </c>
      <c r="E155" t="s">
        <v>139</v>
      </c>
      <c r="F155">
        <v>4065</v>
      </c>
      <c r="G155">
        <v>1775</v>
      </c>
      <c r="H155">
        <v>1450</v>
      </c>
      <c r="I155">
        <v>352</v>
      </c>
    </row>
    <row r="156" spans="1:12" x14ac:dyDescent="0.35">
      <c r="A156" t="s">
        <v>119</v>
      </c>
      <c r="B156" t="s">
        <v>192</v>
      </c>
      <c r="C156" s="1" t="s">
        <v>169</v>
      </c>
      <c r="D156">
        <v>2021</v>
      </c>
      <c r="E156" t="s">
        <v>19</v>
      </c>
      <c r="F156">
        <v>4074</v>
      </c>
      <c r="G156">
        <v>1751</v>
      </c>
      <c r="H156">
        <v>1435</v>
      </c>
      <c r="I156">
        <v>351</v>
      </c>
    </row>
    <row r="157" spans="1:12" x14ac:dyDescent="0.35">
      <c r="A157" t="s">
        <v>60</v>
      </c>
      <c r="B157" s="2" t="s">
        <v>379</v>
      </c>
      <c r="C157" s="1" t="s">
        <v>169</v>
      </c>
      <c r="D157">
        <v>2023</v>
      </c>
      <c r="E157" t="s">
        <v>99</v>
      </c>
      <c r="F157">
        <v>4080</v>
      </c>
      <c r="G157">
        <v>1695</v>
      </c>
      <c r="H157">
        <v>1495</v>
      </c>
      <c r="I157">
        <v>255</v>
      </c>
    </row>
    <row r="158" spans="1:12" x14ac:dyDescent="0.35">
      <c r="A158" t="s">
        <v>193</v>
      </c>
      <c r="B158" t="s">
        <v>194</v>
      </c>
      <c r="C158" s="1" t="s">
        <v>169</v>
      </c>
      <c r="D158">
        <v>2024</v>
      </c>
      <c r="E158" t="s">
        <v>99</v>
      </c>
      <c r="F158">
        <v>4080</v>
      </c>
      <c r="G158">
        <v>1768</v>
      </c>
      <c r="H158">
        <v>1440</v>
      </c>
      <c r="I158">
        <v>352</v>
      </c>
    </row>
    <row r="159" spans="1:12" x14ac:dyDescent="0.35">
      <c r="A159" t="s">
        <v>193</v>
      </c>
      <c r="B159" t="s">
        <v>194</v>
      </c>
      <c r="C159" s="1" t="s">
        <v>169</v>
      </c>
      <c r="D159">
        <v>2024</v>
      </c>
      <c r="E159" t="s">
        <v>21</v>
      </c>
      <c r="F159">
        <v>4080</v>
      </c>
      <c r="G159">
        <v>1768</v>
      </c>
      <c r="H159">
        <v>1440</v>
      </c>
      <c r="I159">
        <v>309</v>
      </c>
    </row>
    <row r="160" spans="1:12" x14ac:dyDescent="0.35">
      <c r="A160" t="s">
        <v>195</v>
      </c>
      <c r="B160" t="s">
        <v>196</v>
      </c>
      <c r="C160" s="1" t="s">
        <v>169</v>
      </c>
      <c r="D160">
        <v>2021</v>
      </c>
      <c r="E160" t="s">
        <v>20</v>
      </c>
      <c r="F160">
        <v>4088</v>
      </c>
      <c r="G160">
        <v>1848</v>
      </c>
      <c r="H160">
        <v>1499</v>
      </c>
      <c r="I160">
        <v>328</v>
      </c>
    </row>
    <row r="161" spans="1:9" x14ac:dyDescent="0.35">
      <c r="A161" t="s">
        <v>60</v>
      </c>
      <c r="B161" t="s">
        <v>197</v>
      </c>
      <c r="C161" s="1" t="s">
        <v>198</v>
      </c>
      <c r="D161">
        <v>2019</v>
      </c>
      <c r="E161" t="s">
        <v>19</v>
      </c>
      <c r="F161">
        <v>3915</v>
      </c>
      <c r="G161">
        <v>1735</v>
      </c>
      <c r="H161">
        <v>1230</v>
      </c>
      <c r="I161">
        <v>130</v>
      </c>
    </row>
    <row r="162" spans="1:9" x14ac:dyDescent="0.35">
      <c r="A162" t="s">
        <v>199</v>
      </c>
      <c r="B162" t="s">
        <v>200</v>
      </c>
      <c r="C162" s="1" t="s">
        <v>198</v>
      </c>
      <c r="D162">
        <v>2025</v>
      </c>
      <c r="E162" t="s">
        <v>21</v>
      </c>
      <c r="F162">
        <v>3990</v>
      </c>
      <c r="G162">
        <v>1820</v>
      </c>
      <c r="H162">
        <v>1520</v>
      </c>
      <c r="I162">
        <v>326</v>
      </c>
    </row>
    <row r="163" spans="1:9" x14ac:dyDescent="0.35">
      <c r="A163" t="s">
        <v>199</v>
      </c>
      <c r="B163" t="s">
        <v>201</v>
      </c>
      <c r="C163" s="1" t="s">
        <v>198</v>
      </c>
      <c r="D163">
        <v>2018</v>
      </c>
      <c r="E163" t="s">
        <v>19</v>
      </c>
      <c r="F163">
        <v>4181</v>
      </c>
      <c r="G163">
        <v>1798</v>
      </c>
      <c r="H163">
        <v>1252</v>
      </c>
      <c r="I163">
        <v>196</v>
      </c>
    </row>
    <row r="164" spans="1:9" x14ac:dyDescent="0.35">
      <c r="A164" t="s">
        <v>45</v>
      </c>
      <c r="B164" t="s">
        <v>202</v>
      </c>
      <c r="C164" s="1" t="s">
        <v>198</v>
      </c>
      <c r="D164">
        <v>2022</v>
      </c>
      <c r="E164" t="s">
        <v>19</v>
      </c>
      <c r="F164">
        <v>4265</v>
      </c>
      <c r="G164">
        <v>1775</v>
      </c>
      <c r="H164">
        <v>1310</v>
      </c>
      <c r="I164">
        <v>226</v>
      </c>
    </row>
    <row r="165" spans="1:9" x14ac:dyDescent="0.35">
      <c r="A165" t="s">
        <v>37</v>
      </c>
      <c r="B165" t="s">
        <v>203</v>
      </c>
      <c r="C165" s="1" t="s">
        <v>198</v>
      </c>
      <c r="D165">
        <v>2023</v>
      </c>
      <c r="E165" t="s">
        <v>19</v>
      </c>
      <c r="F165">
        <v>4324</v>
      </c>
      <c r="G165">
        <v>1864</v>
      </c>
      <c r="H165">
        <v>1304</v>
      </c>
      <c r="I165">
        <v>281</v>
      </c>
    </row>
    <row r="166" spans="1:9" x14ac:dyDescent="0.35">
      <c r="A166" t="s">
        <v>124</v>
      </c>
      <c r="B166" t="s">
        <v>204</v>
      </c>
      <c r="C166" s="1" t="s">
        <v>198</v>
      </c>
      <c r="D166">
        <v>2016</v>
      </c>
      <c r="E166" t="s">
        <v>19</v>
      </c>
      <c r="F166">
        <v>4379</v>
      </c>
      <c r="G166">
        <v>1801</v>
      </c>
      <c r="H166">
        <v>1281</v>
      </c>
      <c r="I166">
        <v>280</v>
      </c>
    </row>
    <row r="167" spans="1:9" x14ac:dyDescent="0.35">
      <c r="A167" t="s">
        <v>124</v>
      </c>
      <c r="B167" t="s">
        <v>205</v>
      </c>
      <c r="C167" s="1" t="s">
        <v>198</v>
      </c>
      <c r="D167">
        <v>2016</v>
      </c>
      <c r="E167" t="s">
        <v>19</v>
      </c>
      <c r="F167">
        <v>4379</v>
      </c>
      <c r="G167">
        <v>1801</v>
      </c>
      <c r="H167">
        <v>1295</v>
      </c>
      <c r="I167">
        <v>425</v>
      </c>
    </row>
    <row r="168" spans="1:9" x14ac:dyDescent="0.35">
      <c r="A168" t="s">
        <v>45</v>
      </c>
      <c r="B168" t="s">
        <v>206</v>
      </c>
      <c r="C168" s="1" t="s">
        <v>198</v>
      </c>
      <c r="D168">
        <v>2020</v>
      </c>
      <c r="E168" t="s">
        <v>19</v>
      </c>
      <c r="F168">
        <v>4379</v>
      </c>
      <c r="G168">
        <v>1854</v>
      </c>
      <c r="H168">
        <v>1292</v>
      </c>
      <c r="I168">
        <v>290</v>
      </c>
    </row>
    <row r="169" spans="1:9" x14ac:dyDescent="0.35">
      <c r="A169" t="s">
        <v>207</v>
      </c>
      <c r="B169" t="s">
        <v>208</v>
      </c>
      <c r="C169" s="1" t="s">
        <v>198</v>
      </c>
      <c r="D169">
        <v>2022</v>
      </c>
      <c r="E169" t="s">
        <v>19</v>
      </c>
      <c r="F169">
        <v>4413</v>
      </c>
      <c r="G169">
        <v>1895</v>
      </c>
      <c r="H169">
        <v>1226</v>
      </c>
      <c r="I169">
        <v>151</v>
      </c>
    </row>
    <row r="170" spans="1:9" x14ac:dyDescent="0.35">
      <c r="A170" t="s">
        <v>207</v>
      </c>
      <c r="B170" t="s">
        <v>209</v>
      </c>
      <c r="C170" s="1" t="s">
        <v>198</v>
      </c>
      <c r="D170">
        <v>2020</v>
      </c>
      <c r="E170" t="s">
        <v>21</v>
      </c>
      <c r="F170">
        <v>4459</v>
      </c>
      <c r="G170">
        <v>2000</v>
      </c>
      <c r="H170">
        <v>1122</v>
      </c>
      <c r="I170">
        <v>0</v>
      </c>
    </row>
    <row r="171" spans="1:9" x14ac:dyDescent="0.35">
      <c r="A171" t="s">
        <v>78</v>
      </c>
      <c r="B171" t="s">
        <v>210</v>
      </c>
      <c r="C171" s="1" t="s">
        <v>198</v>
      </c>
      <c r="D171">
        <v>2020</v>
      </c>
      <c r="E171" t="s">
        <v>19</v>
      </c>
      <c r="F171">
        <v>4470</v>
      </c>
      <c r="G171">
        <v>1923</v>
      </c>
      <c r="H171">
        <v>1311</v>
      </c>
      <c r="I171">
        <v>336</v>
      </c>
    </row>
    <row r="172" spans="1:9" x14ac:dyDescent="0.35">
      <c r="A172" t="s">
        <v>211</v>
      </c>
      <c r="B172" t="s">
        <v>212</v>
      </c>
      <c r="C172" s="1" t="s">
        <v>198</v>
      </c>
      <c r="D172">
        <v>2024</v>
      </c>
      <c r="E172" t="s">
        <v>19</v>
      </c>
      <c r="F172">
        <v>4495</v>
      </c>
      <c r="G172">
        <v>1980</v>
      </c>
      <c r="H172">
        <v>1275</v>
      </c>
      <c r="I172">
        <v>346</v>
      </c>
    </row>
    <row r="173" spans="1:9" x14ac:dyDescent="0.35">
      <c r="A173" t="s">
        <v>213</v>
      </c>
      <c r="B173" t="s">
        <v>214</v>
      </c>
      <c r="C173" s="1" t="s">
        <v>198</v>
      </c>
      <c r="D173">
        <v>2021</v>
      </c>
      <c r="E173" t="s">
        <v>98</v>
      </c>
      <c r="F173">
        <v>4539</v>
      </c>
      <c r="G173">
        <v>1913</v>
      </c>
      <c r="H173">
        <v>1193</v>
      </c>
      <c r="I173">
        <v>160</v>
      </c>
    </row>
    <row r="174" spans="1:9" x14ac:dyDescent="0.35">
      <c r="A174" t="s">
        <v>124</v>
      </c>
      <c r="B174" t="s">
        <v>215</v>
      </c>
      <c r="C174" s="1" t="s">
        <v>198</v>
      </c>
      <c r="D174">
        <v>2024</v>
      </c>
      <c r="E174" t="s">
        <v>19</v>
      </c>
      <c r="F174">
        <v>4542</v>
      </c>
      <c r="G174">
        <v>1852</v>
      </c>
      <c r="H174">
        <v>1298</v>
      </c>
      <c r="I174">
        <v>135</v>
      </c>
    </row>
    <row r="175" spans="1:9" x14ac:dyDescent="0.35">
      <c r="A175" t="s">
        <v>213</v>
      </c>
      <c r="B175" t="s">
        <v>217</v>
      </c>
      <c r="C175" s="1" t="s">
        <v>198</v>
      </c>
      <c r="D175">
        <v>2017</v>
      </c>
      <c r="E175" t="s">
        <v>19</v>
      </c>
      <c r="F175">
        <v>4543</v>
      </c>
      <c r="G175">
        <v>1930</v>
      </c>
      <c r="H175">
        <v>1196</v>
      </c>
      <c r="I175">
        <f>150+210</f>
        <v>360</v>
      </c>
    </row>
    <row r="176" spans="1:9" x14ac:dyDescent="0.35">
      <c r="A176" t="s">
        <v>218</v>
      </c>
      <c r="B176" t="s">
        <v>219</v>
      </c>
      <c r="C176" s="1" t="s">
        <v>198</v>
      </c>
      <c r="D176">
        <v>2021</v>
      </c>
      <c r="E176" t="s">
        <v>19</v>
      </c>
      <c r="F176">
        <v>4549</v>
      </c>
      <c r="G176">
        <v>1945</v>
      </c>
      <c r="H176">
        <v>1220</v>
      </c>
      <c r="I176">
        <v>38</v>
      </c>
    </row>
    <row r="177" spans="1:12" x14ac:dyDescent="0.35">
      <c r="A177" t="s">
        <v>220</v>
      </c>
      <c r="B177" t="s">
        <v>221</v>
      </c>
      <c r="C177" s="1" t="s">
        <v>198</v>
      </c>
      <c r="D177">
        <v>2022</v>
      </c>
      <c r="E177" t="s">
        <v>98</v>
      </c>
      <c r="F177">
        <v>4565</v>
      </c>
      <c r="G177">
        <v>1958</v>
      </c>
      <c r="H177">
        <v>1187</v>
      </c>
      <c r="I177">
        <v>0</v>
      </c>
    </row>
    <row r="178" spans="1:12" x14ac:dyDescent="0.35">
      <c r="A178" t="s">
        <v>218</v>
      </c>
      <c r="B178" t="s">
        <v>222</v>
      </c>
      <c r="C178" s="1" t="s">
        <v>198</v>
      </c>
      <c r="D178">
        <v>2022</v>
      </c>
      <c r="E178" t="s">
        <v>19</v>
      </c>
      <c r="F178">
        <v>4567</v>
      </c>
      <c r="G178">
        <v>1933</v>
      </c>
      <c r="H178">
        <v>1165</v>
      </c>
      <c r="I178">
        <v>100</v>
      </c>
    </row>
    <row r="179" spans="1:12" x14ac:dyDescent="0.35">
      <c r="A179" t="s">
        <v>213</v>
      </c>
      <c r="B179" t="s">
        <v>223</v>
      </c>
      <c r="C179" s="1" t="s">
        <v>198</v>
      </c>
      <c r="D179">
        <v>2020</v>
      </c>
      <c r="E179" t="s">
        <v>19</v>
      </c>
      <c r="F179">
        <v>4600</v>
      </c>
      <c r="G179">
        <v>1930</v>
      </c>
      <c r="H179">
        <v>1159</v>
      </c>
      <c r="I179">
        <v>360</v>
      </c>
    </row>
    <row r="180" spans="1:12" x14ac:dyDescent="0.35">
      <c r="A180" t="s">
        <v>220</v>
      </c>
      <c r="B180" t="s">
        <v>224</v>
      </c>
      <c r="C180" s="1" t="s">
        <v>198</v>
      </c>
      <c r="D180">
        <v>2020</v>
      </c>
      <c r="E180" t="s">
        <v>19</v>
      </c>
      <c r="F180">
        <v>4656</v>
      </c>
      <c r="G180">
        <v>1974</v>
      </c>
      <c r="H180">
        <v>1301</v>
      </c>
      <c r="I180">
        <v>272</v>
      </c>
    </row>
    <row r="181" spans="1:12" x14ac:dyDescent="0.35">
      <c r="A181" t="s">
        <v>137</v>
      </c>
      <c r="B181" t="s">
        <v>225</v>
      </c>
      <c r="C181" s="1" t="s">
        <v>198</v>
      </c>
      <c r="D181">
        <v>2021</v>
      </c>
      <c r="E181" t="s">
        <v>19</v>
      </c>
      <c r="F181">
        <v>4669</v>
      </c>
      <c r="G181">
        <v>1965</v>
      </c>
      <c r="H181">
        <v>1224</v>
      </c>
      <c r="I181">
        <f>50+100</f>
        <v>150</v>
      </c>
    </row>
    <row r="182" spans="1:12" x14ac:dyDescent="0.35">
      <c r="A182" t="s">
        <v>213</v>
      </c>
      <c r="B182" t="s">
        <v>226</v>
      </c>
      <c r="C182" s="1" t="s">
        <v>198</v>
      </c>
      <c r="D182">
        <v>2020</v>
      </c>
      <c r="E182" t="s">
        <v>19</v>
      </c>
      <c r="F182">
        <v>4683</v>
      </c>
      <c r="G182">
        <v>1930</v>
      </c>
      <c r="H182">
        <v>1213</v>
      </c>
      <c r="I182">
        <v>570</v>
      </c>
    </row>
    <row r="183" spans="1:12" x14ac:dyDescent="0.35">
      <c r="A183" t="s">
        <v>218</v>
      </c>
      <c r="B183" t="s">
        <v>227</v>
      </c>
      <c r="C183" s="1" t="s">
        <v>198</v>
      </c>
      <c r="D183">
        <v>2025</v>
      </c>
      <c r="E183" t="s">
        <v>98</v>
      </c>
      <c r="F183">
        <v>4706</v>
      </c>
      <c r="G183">
        <v>1996</v>
      </c>
      <c r="H183">
        <v>1201</v>
      </c>
      <c r="I183">
        <v>112</v>
      </c>
    </row>
    <row r="184" spans="1:12" x14ac:dyDescent="0.35">
      <c r="A184" t="s">
        <v>220</v>
      </c>
      <c r="B184" t="s">
        <v>228</v>
      </c>
      <c r="C184" s="1" t="s">
        <v>198</v>
      </c>
      <c r="D184">
        <v>2020</v>
      </c>
      <c r="E184" t="s">
        <v>98</v>
      </c>
      <c r="F184">
        <v>4710</v>
      </c>
      <c r="G184">
        <v>1972</v>
      </c>
      <c r="H184">
        <v>1186</v>
      </c>
      <c r="I184">
        <v>74</v>
      </c>
    </row>
    <row r="185" spans="1:12" x14ac:dyDescent="0.35">
      <c r="A185" t="s">
        <v>211</v>
      </c>
      <c r="B185" t="s">
        <v>229</v>
      </c>
      <c r="C185" s="1" t="s">
        <v>198</v>
      </c>
      <c r="D185">
        <v>2019</v>
      </c>
      <c r="E185" t="s">
        <v>19</v>
      </c>
      <c r="F185">
        <v>4712</v>
      </c>
      <c r="G185">
        <v>1968</v>
      </c>
      <c r="H185">
        <v>1280</v>
      </c>
      <c r="I185">
        <v>270</v>
      </c>
    </row>
    <row r="186" spans="1:12" x14ac:dyDescent="0.35">
      <c r="A186" t="s">
        <v>211</v>
      </c>
      <c r="B186" t="s">
        <v>230</v>
      </c>
      <c r="C186" s="1" t="s">
        <v>198</v>
      </c>
      <c r="D186">
        <v>2024</v>
      </c>
      <c r="E186" t="s">
        <v>19</v>
      </c>
      <c r="F186">
        <v>4725</v>
      </c>
      <c r="G186">
        <v>1980</v>
      </c>
      <c r="H186">
        <v>1295</v>
      </c>
      <c r="I186">
        <v>262</v>
      </c>
    </row>
    <row r="187" spans="1:12" x14ac:dyDescent="0.35">
      <c r="A187" t="s">
        <v>220</v>
      </c>
      <c r="B187" t="s">
        <v>231</v>
      </c>
      <c r="C187" s="1" t="s">
        <v>198</v>
      </c>
      <c r="D187">
        <v>2024</v>
      </c>
      <c r="E187" t="s">
        <v>19</v>
      </c>
      <c r="F187">
        <v>4733</v>
      </c>
      <c r="G187">
        <v>1980</v>
      </c>
      <c r="H187">
        <v>1292</v>
      </c>
      <c r="I187">
        <v>270</v>
      </c>
    </row>
    <row r="188" spans="1:12" x14ac:dyDescent="0.35">
      <c r="A188" t="s">
        <v>129</v>
      </c>
      <c r="B188" t="s">
        <v>232</v>
      </c>
      <c r="C188" s="1" t="s">
        <v>198</v>
      </c>
      <c r="D188">
        <v>2017</v>
      </c>
      <c r="E188" t="s">
        <v>110</v>
      </c>
      <c r="F188">
        <v>4770</v>
      </c>
      <c r="G188">
        <v>1920</v>
      </c>
      <c r="H188">
        <v>1345</v>
      </c>
      <c r="I188">
        <v>197</v>
      </c>
      <c r="L188">
        <v>139500</v>
      </c>
    </row>
    <row r="189" spans="1:12" x14ac:dyDescent="0.35">
      <c r="A189" t="s">
        <v>49</v>
      </c>
      <c r="B189" t="s">
        <v>233</v>
      </c>
      <c r="C189" s="1" t="s">
        <v>198</v>
      </c>
      <c r="D189">
        <v>2024</v>
      </c>
      <c r="E189" t="s">
        <v>19</v>
      </c>
      <c r="F189">
        <v>4810</v>
      </c>
      <c r="G189">
        <v>1916</v>
      </c>
      <c r="H189">
        <v>1394</v>
      </c>
      <c r="I189">
        <v>408</v>
      </c>
    </row>
    <row r="190" spans="1:12" x14ac:dyDescent="0.35">
      <c r="A190" t="s">
        <v>152</v>
      </c>
      <c r="B190" t="s">
        <v>234</v>
      </c>
      <c r="C190" s="1" t="s">
        <v>198</v>
      </c>
      <c r="D190">
        <v>2018</v>
      </c>
      <c r="E190" t="s">
        <v>19</v>
      </c>
      <c r="F190">
        <v>4850</v>
      </c>
      <c r="G190">
        <v>1966</v>
      </c>
      <c r="H190">
        <v>1405</v>
      </c>
      <c r="I190">
        <v>358</v>
      </c>
    </row>
    <row r="191" spans="1:12" x14ac:dyDescent="0.35">
      <c r="A191" t="s">
        <v>218</v>
      </c>
      <c r="B191" t="s">
        <v>235</v>
      </c>
      <c r="C191" s="1" t="s">
        <v>198</v>
      </c>
      <c r="D191">
        <v>2024</v>
      </c>
      <c r="E191" t="s">
        <v>98</v>
      </c>
      <c r="F191">
        <v>4947</v>
      </c>
      <c r="G191">
        <v>2033</v>
      </c>
      <c r="H191">
        <v>1160</v>
      </c>
      <c r="I191">
        <v>0</v>
      </c>
    </row>
    <row r="192" spans="1:12" x14ac:dyDescent="0.35">
      <c r="A192" t="s">
        <v>137</v>
      </c>
      <c r="B192" t="s">
        <v>236</v>
      </c>
      <c r="C192" s="1" t="s">
        <v>198</v>
      </c>
      <c r="D192">
        <v>2023</v>
      </c>
      <c r="E192" t="s">
        <v>19</v>
      </c>
      <c r="F192">
        <v>4959</v>
      </c>
      <c r="G192">
        <v>1957</v>
      </c>
      <c r="H192">
        <v>1353</v>
      </c>
      <c r="I192">
        <v>310</v>
      </c>
    </row>
    <row r="193" spans="1:12" x14ac:dyDescent="0.35">
      <c r="A193" t="s">
        <v>137</v>
      </c>
      <c r="B193" t="s">
        <v>236</v>
      </c>
      <c r="C193" s="1" t="s">
        <v>198</v>
      </c>
      <c r="D193">
        <v>2023</v>
      </c>
      <c r="E193" t="s">
        <v>21</v>
      </c>
      <c r="F193">
        <v>4959</v>
      </c>
      <c r="G193">
        <v>1957</v>
      </c>
      <c r="H193">
        <v>1353</v>
      </c>
      <c r="I193">
        <v>270</v>
      </c>
    </row>
    <row r="194" spans="1:12" x14ac:dyDescent="0.35">
      <c r="A194" t="s">
        <v>43</v>
      </c>
      <c r="B194" t="s">
        <v>237</v>
      </c>
      <c r="C194" s="1" t="s">
        <v>238</v>
      </c>
      <c r="D194">
        <v>2021</v>
      </c>
      <c r="E194" t="s">
        <v>239</v>
      </c>
      <c r="F194">
        <v>4571</v>
      </c>
      <c r="G194">
        <v>1792</v>
      </c>
      <c r="H194">
        <v>1514</v>
      </c>
      <c r="I194">
        <v>550</v>
      </c>
    </row>
    <row r="195" spans="1:12" x14ac:dyDescent="0.35">
      <c r="A195" t="s">
        <v>29</v>
      </c>
      <c r="B195" t="s">
        <v>240</v>
      </c>
      <c r="C195" s="1" t="s">
        <v>238</v>
      </c>
      <c r="D195">
        <v>2020</v>
      </c>
      <c r="E195" t="s">
        <v>241</v>
      </c>
      <c r="F195">
        <v>4585</v>
      </c>
      <c r="G195">
        <v>1795</v>
      </c>
      <c r="H195">
        <v>1475</v>
      </c>
      <c r="I195">
        <v>602</v>
      </c>
    </row>
    <row r="196" spans="1:12" x14ac:dyDescent="0.35">
      <c r="A196" t="s">
        <v>24</v>
      </c>
      <c r="B196" t="s">
        <v>242</v>
      </c>
      <c r="C196" s="1" t="s">
        <v>238</v>
      </c>
      <c r="D196">
        <v>2022</v>
      </c>
      <c r="E196" t="s">
        <v>19</v>
      </c>
      <c r="F196">
        <v>4600</v>
      </c>
      <c r="G196">
        <v>1800</v>
      </c>
      <c r="H196">
        <v>1465</v>
      </c>
      <c r="I196">
        <v>625</v>
      </c>
    </row>
    <row r="197" spans="1:12" x14ac:dyDescent="0.35">
      <c r="A197" t="s">
        <v>24</v>
      </c>
      <c r="B197" t="s">
        <v>242</v>
      </c>
      <c r="C197" s="1" t="s">
        <v>238</v>
      </c>
      <c r="D197">
        <v>2022</v>
      </c>
      <c r="E197" t="s">
        <v>94</v>
      </c>
      <c r="F197">
        <v>4600</v>
      </c>
      <c r="G197">
        <v>1800</v>
      </c>
      <c r="H197">
        <v>1465</v>
      </c>
      <c r="I197">
        <v>512</v>
      </c>
    </row>
    <row r="198" spans="1:12" x14ac:dyDescent="0.35">
      <c r="A198" t="s">
        <v>24</v>
      </c>
      <c r="B198" t="s">
        <v>242</v>
      </c>
      <c r="C198" s="1" t="s">
        <v>238</v>
      </c>
      <c r="D198">
        <v>2022</v>
      </c>
      <c r="E198" t="s">
        <v>98</v>
      </c>
      <c r="F198">
        <v>4600</v>
      </c>
      <c r="G198">
        <v>1800</v>
      </c>
      <c r="H198">
        <v>1465</v>
      </c>
      <c r="I198">
        <v>427</v>
      </c>
    </row>
    <row r="199" spans="1:12" x14ac:dyDescent="0.35">
      <c r="A199" t="s">
        <v>10</v>
      </c>
      <c r="B199" t="s">
        <v>243</v>
      </c>
      <c r="C199" s="1" t="s">
        <v>238</v>
      </c>
      <c r="D199">
        <v>2022</v>
      </c>
      <c r="E199" t="s">
        <v>21</v>
      </c>
      <c r="F199">
        <v>4600</v>
      </c>
      <c r="G199">
        <v>1818</v>
      </c>
      <c r="H199">
        <v>1543</v>
      </c>
      <c r="I199">
        <v>479</v>
      </c>
    </row>
    <row r="200" spans="1:12" x14ac:dyDescent="0.35">
      <c r="A200" t="s">
        <v>119</v>
      </c>
      <c r="B200" t="s">
        <v>244</v>
      </c>
      <c r="C200" s="1" t="s">
        <v>238</v>
      </c>
      <c r="D200">
        <v>2024</v>
      </c>
      <c r="E200" t="s">
        <v>239</v>
      </c>
      <c r="F200">
        <v>4631</v>
      </c>
      <c r="G200">
        <v>1789</v>
      </c>
      <c r="H200">
        <v>1487</v>
      </c>
      <c r="I200">
        <v>611</v>
      </c>
    </row>
    <row r="201" spans="1:12" x14ac:dyDescent="0.35">
      <c r="A201" t="s">
        <v>40</v>
      </c>
      <c r="B201" t="s">
        <v>245</v>
      </c>
      <c r="C201" s="1" t="s">
        <v>238</v>
      </c>
      <c r="D201">
        <v>2022</v>
      </c>
      <c r="E201" t="s">
        <v>239</v>
      </c>
      <c r="F201">
        <v>4636</v>
      </c>
      <c r="G201">
        <v>1852</v>
      </c>
      <c r="H201">
        <v>1450</v>
      </c>
      <c r="I201">
        <v>608</v>
      </c>
    </row>
    <row r="202" spans="1:12" x14ac:dyDescent="0.35">
      <c r="A202" t="s">
        <v>40</v>
      </c>
      <c r="B202" t="s">
        <v>245</v>
      </c>
      <c r="C202" s="1" t="s">
        <v>238</v>
      </c>
      <c r="D202">
        <v>2022</v>
      </c>
      <c r="E202" t="s">
        <v>246</v>
      </c>
      <c r="F202">
        <v>4636</v>
      </c>
      <c r="G202">
        <v>1852</v>
      </c>
      <c r="H202">
        <v>1450</v>
      </c>
      <c r="I202">
        <v>548</v>
      </c>
    </row>
    <row r="203" spans="1:12" x14ac:dyDescent="0.35">
      <c r="A203" t="s">
        <v>41</v>
      </c>
      <c r="B203" t="s">
        <v>250</v>
      </c>
      <c r="C203" s="1" t="s">
        <v>238</v>
      </c>
      <c r="D203">
        <v>2020</v>
      </c>
      <c r="E203" t="s">
        <v>239</v>
      </c>
      <c r="F203">
        <v>4642</v>
      </c>
      <c r="G203">
        <v>1799</v>
      </c>
      <c r="H203">
        <v>1451</v>
      </c>
      <c r="I203">
        <v>620</v>
      </c>
    </row>
    <row r="204" spans="1:12" x14ac:dyDescent="0.35">
      <c r="A204" t="s">
        <v>41</v>
      </c>
      <c r="B204" t="s">
        <v>250</v>
      </c>
      <c r="C204" s="1" t="s">
        <v>238</v>
      </c>
      <c r="D204">
        <v>2020</v>
      </c>
      <c r="E204" t="s">
        <v>98</v>
      </c>
      <c r="F204">
        <v>4642</v>
      </c>
      <c r="G204">
        <v>1799</v>
      </c>
      <c r="H204">
        <v>1451</v>
      </c>
      <c r="I204">
        <v>470</v>
      </c>
    </row>
    <row r="205" spans="1:12" x14ac:dyDescent="0.35">
      <c r="A205" t="s">
        <v>47</v>
      </c>
      <c r="B205" t="s">
        <v>247</v>
      </c>
      <c r="C205" s="1" t="s">
        <v>238</v>
      </c>
      <c r="D205">
        <v>2022</v>
      </c>
      <c r="E205" t="s">
        <v>239</v>
      </c>
      <c r="F205">
        <v>4642</v>
      </c>
      <c r="G205">
        <v>1860</v>
      </c>
      <c r="H205">
        <v>1480</v>
      </c>
      <c r="I205">
        <v>597</v>
      </c>
    </row>
    <row r="206" spans="1:12" x14ac:dyDescent="0.35">
      <c r="A206" t="s">
        <v>47</v>
      </c>
      <c r="B206" t="s">
        <v>247</v>
      </c>
      <c r="C206" s="1" t="s">
        <v>238</v>
      </c>
      <c r="D206">
        <v>2022</v>
      </c>
      <c r="E206" t="s">
        <v>246</v>
      </c>
      <c r="F206">
        <v>4642</v>
      </c>
      <c r="G206">
        <v>1860</v>
      </c>
      <c r="H206">
        <v>1480</v>
      </c>
      <c r="I206">
        <v>516</v>
      </c>
    </row>
    <row r="207" spans="1:12" x14ac:dyDescent="0.35">
      <c r="A207" t="s">
        <v>45</v>
      </c>
      <c r="B207" t="s">
        <v>248</v>
      </c>
      <c r="C207" s="1" t="s">
        <v>238</v>
      </c>
      <c r="D207">
        <v>2023</v>
      </c>
      <c r="E207" t="s">
        <v>110</v>
      </c>
      <c r="F207">
        <v>4653</v>
      </c>
      <c r="G207">
        <v>1790</v>
      </c>
      <c r="H207">
        <v>1445</v>
      </c>
      <c r="I207">
        <v>598</v>
      </c>
      <c r="L207">
        <v>28000</v>
      </c>
    </row>
    <row r="208" spans="1:12" x14ac:dyDescent="0.35">
      <c r="A208" t="s">
        <v>172</v>
      </c>
      <c r="B208" t="s">
        <v>249</v>
      </c>
      <c r="C208" s="1" t="s">
        <v>238</v>
      </c>
      <c r="D208">
        <v>2021</v>
      </c>
      <c r="E208" t="s">
        <v>99</v>
      </c>
      <c r="F208">
        <v>4655</v>
      </c>
      <c r="G208">
        <v>1790</v>
      </c>
      <c r="H208">
        <v>1460</v>
      </c>
      <c r="I208">
        <v>596</v>
      </c>
    </row>
    <row r="209" spans="1:9" x14ac:dyDescent="0.35">
      <c r="A209" t="s">
        <v>27</v>
      </c>
      <c r="B209" t="s">
        <v>250</v>
      </c>
      <c r="C209" s="1" t="s">
        <v>238</v>
      </c>
      <c r="D209">
        <v>2020</v>
      </c>
      <c r="E209" t="s">
        <v>239</v>
      </c>
      <c r="F209">
        <v>4642</v>
      </c>
      <c r="G209">
        <v>1799</v>
      </c>
      <c r="H209">
        <v>1451</v>
      </c>
      <c r="I209">
        <v>620</v>
      </c>
    </row>
    <row r="210" spans="1:9" x14ac:dyDescent="0.35">
      <c r="A210" t="s">
        <v>27</v>
      </c>
      <c r="B210" t="s">
        <v>250</v>
      </c>
      <c r="C210" s="1" t="s">
        <v>238</v>
      </c>
      <c r="D210">
        <v>2020</v>
      </c>
      <c r="E210" t="s">
        <v>98</v>
      </c>
      <c r="F210">
        <v>4642</v>
      </c>
      <c r="G210">
        <v>1799</v>
      </c>
      <c r="H210">
        <v>1451</v>
      </c>
      <c r="I210">
        <v>470</v>
      </c>
    </row>
    <row r="211" spans="1:9" x14ac:dyDescent="0.35">
      <c r="A211" t="s">
        <v>49</v>
      </c>
      <c r="B211" t="s">
        <v>251</v>
      </c>
      <c r="C211" s="1" t="s">
        <v>238</v>
      </c>
      <c r="D211">
        <v>2022</v>
      </c>
      <c r="E211" t="s">
        <v>239</v>
      </c>
      <c r="F211">
        <v>4672</v>
      </c>
      <c r="G211">
        <v>1825</v>
      </c>
      <c r="H211">
        <v>1497</v>
      </c>
      <c r="I211">
        <v>635</v>
      </c>
    </row>
    <row r="212" spans="1:9" x14ac:dyDescent="0.35">
      <c r="A212" t="s">
        <v>81</v>
      </c>
      <c r="B212" t="s">
        <v>252</v>
      </c>
      <c r="C212" s="1" t="s">
        <v>238</v>
      </c>
      <c r="D212">
        <v>2023</v>
      </c>
      <c r="E212" t="s">
        <v>147</v>
      </c>
      <c r="F212">
        <v>4688</v>
      </c>
      <c r="G212">
        <v>1830</v>
      </c>
      <c r="H212">
        <v>1442</v>
      </c>
      <c r="I212">
        <v>505</v>
      </c>
    </row>
    <row r="213" spans="1:9" x14ac:dyDescent="0.35">
      <c r="A213" t="s">
        <v>81</v>
      </c>
      <c r="B213" t="s">
        <v>252</v>
      </c>
      <c r="C213" s="1" t="s">
        <v>238</v>
      </c>
      <c r="D213">
        <v>2023</v>
      </c>
      <c r="E213" t="s">
        <v>98</v>
      </c>
      <c r="F213">
        <v>4688</v>
      </c>
      <c r="G213">
        <v>1830</v>
      </c>
      <c r="H213">
        <v>1442</v>
      </c>
      <c r="I213">
        <v>440</v>
      </c>
    </row>
    <row r="214" spans="1:9" x14ac:dyDescent="0.35">
      <c r="A214" t="s">
        <v>7</v>
      </c>
      <c r="B214" t="s">
        <v>253</v>
      </c>
      <c r="C214" s="1" t="s">
        <v>238</v>
      </c>
      <c r="D214">
        <v>2024</v>
      </c>
      <c r="E214" t="s">
        <v>239</v>
      </c>
      <c r="F214">
        <v>4698</v>
      </c>
      <c r="G214">
        <v>1829</v>
      </c>
      <c r="H214">
        <v>1480</v>
      </c>
      <c r="I214">
        <v>640</v>
      </c>
    </row>
    <row r="215" spans="1:9" x14ac:dyDescent="0.35">
      <c r="A215" t="s">
        <v>37</v>
      </c>
      <c r="B215" t="s">
        <v>254</v>
      </c>
      <c r="C215" s="1" t="s">
        <v>238</v>
      </c>
      <c r="D215">
        <v>2023</v>
      </c>
      <c r="E215" t="s">
        <v>90</v>
      </c>
      <c r="F215">
        <v>4713</v>
      </c>
      <c r="G215">
        <v>1827</v>
      </c>
      <c r="H215">
        <v>1440</v>
      </c>
      <c r="I215">
        <v>500</v>
      </c>
    </row>
    <row r="216" spans="1:9" x14ac:dyDescent="0.35">
      <c r="A216" t="s">
        <v>37</v>
      </c>
      <c r="B216" t="s">
        <v>254</v>
      </c>
      <c r="C216" s="1" t="s">
        <v>238</v>
      </c>
      <c r="D216">
        <v>2023</v>
      </c>
      <c r="E216" t="s">
        <v>98</v>
      </c>
      <c r="F216">
        <v>4713</v>
      </c>
      <c r="G216">
        <v>1827</v>
      </c>
      <c r="H216">
        <v>1440</v>
      </c>
      <c r="I216">
        <v>410</v>
      </c>
    </row>
    <row r="217" spans="1:9" x14ac:dyDescent="0.35">
      <c r="A217" t="s">
        <v>81</v>
      </c>
      <c r="B217" t="s">
        <v>255</v>
      </c>
      <c r="C217" s="1" t="s">
        <v>238</v>
      </c>
      <c r="D217">
        <v>2021</v>
      </c>
      <c r="E217" t="s">
        <v>94</v>
      </c>
      <c r="F217">
        <v>4751</v>
      </c>
      <c r="G217">
        <v>1820</v>
      </c>
      <c r="H217">
        <v>1455</v>
      </c>
      <c r="I217">
        <v>490</v>
      </c>
    </row>
    <row r="218" spans="1:9" x14ac:dyDescent="0.35">
      <c r="A218" t="s">
        <v>81</v>
      </c>
      <c r="B218" t="s">
        <v>255</v>
      </c>
      <c r="C218" s="1" t="s">
        <v>238</v>
      </c>
      <c r="D218">
        <v>2021</v>
      </c>
      <c r="E218" t="s">
        <v>256</v>
      </c>
      <c r="F218">
        <v>4751</v>
      </c>
      <c r="G218">
        <v>1820</v>
      </c>
      <c r="H218">
        <v>1455</v>
      </c>
      <c r="I218">
        <v>360</v>
      </c>
    </row>
    <row r="219" spans="1:9" x14ac:dyDescent="0.35">
      <c r="A219" t="s">
        <v>96</v>
      </c>
      <c r="B219" t="s">
        <v>257</v>
      </c>
      <c r="C219" s="1" t="s">
        <v>238</v>
      </c>
      <c r="D219">
        <v>2025</v>
      </c>
      <c r="E219" t="s">
        <v>99</v>
      </c>
      <c r="F219">
        <v>4778</v>
      </c>
      <c r="G219">
        <v>1850</v>
      </c>
      <c r="H219">
        <v>1432</v>
      </c>
      <c r="I219">
        <v>519</v>
      </c>
    </row>
    <row r="220" spans="1:9" x14ac:dyDescent="0.35">
      <c r="A220" t="s">
        <v>96</v>
      </c>
      <c r="B220" t="s">
        <v>257</v>
      </c>
      <c r="C220" s="1" t="s">
        <v>238</v>
      </c>
      <c r="D220">
        <v>2025</v>
      </c>
      <c r="E220" t="s">
        <v>98</v>
      </c>
      <c r="F220">
        <v>4778</v>
      </c>
      <c r="G220">
        <v>1850</v>
      </c>
      <c r="H220">
        <v>1427</v>
      </c>
      <c r="I220">
        <v>481</v>
      </c>
    </row>
    <row r="221" spans="1:9" x14ac:dyDescent="0.35">
      <c r="A221" t="s">
        <v>40</v>
      </c>
      <c r="B221" t="s">
        <v>258</v>
      </c>
      <c r="C221" s="1" t="s">
        <v>238</v>
      </c>
      <c r="D221">
        <v>2025</v>
      </c>
      <c r="E221" t="s">
        <v>98</v>
      </c>
      <c r="F221">
        <v>4778</v>
      </c>
      <c r="G221">
        <v>1859</v>
      </c>
      <c r="H221">
        <v>1420</v>
      </c>
      <c r="I221">
        <v>530</v>
      </c>
    </row>
    <row r="222" spans="1:9" x14ac:dyDescent="0.35">
      <c r="A222" t="s">
        <v>32</v>
      </c>
      <c r="B222" t="s">
        <v>259</v>
      </c>
      <c r="C222" s="1" t="s">
        <v>238</v>
      </c>
      <c r="D222">
        <v>2025</v>
      </c>
      <c r="E222" t="s">
        <v>90</v>
      </c>
      <c r="F222">
        <v>4829</v>
      </c>
      <c r="G222">
        <v>1860</v>
      </c>
      <c r="H222">
        <v>1460</v>
      </c>
      <c r="I222">
        <v>476</v>
      </c>
    </row>
    <row r="223" spans="1:9" x14ac:dyDescent="0.35">
      <c r="A223" t="s">
        <v>106</v>
      </c>
      <c r="B223" t="s">
        <v>260</v>
      </c>
      <c r="C223" s="1" t="s">
        <v>238</v>
      </c>
      <c r="D223">
        <v>2020</v>
      </c>
      <c r="E223" t="s">
        <v>20</v>
      </c>
      <c r="F223">
        <v>4865</v>
      </c>
      <c r="G223">
        <v>1870</v>
      </c>
      <c r="H223">
        <v>1468</v>
      </c>
      <c r="I223">
        <v>572</v>
      </c>
    </row>
    <row r="224" spans="1:9" x14ac:dyDescent="0.35">
      <c r="A224" t="s">
        <v>7</v>
      </c>
      <c r="B224" t="s">
        <v>261</v>
      </c>
      <c r="C224" s="1" t="s">
        <v>238</v>
      </c>
      <c r="D224">
        <v>2024</v>
      </c>
      <c r="E224" t="s">
        <v>239</v>
      </c>
      <c r="F224">
        <v>4902</v>
      </c>
      <c r="G224">
        <v>1849</v>
      </c>
      <c r="H224">
        <v>1482</v>
      </c>
      <c r="I224">
        <v>690</v>
      </c>
    </row>
    <row r="225" spans="1:9" x14ac:dyDescent="0.35">
      <c r="A225" t="s">
        <v>7</v>
      </c>
      <c r="B225" t="s">
        <v>261</v>
      </c>
      <c r="C225" s="1" t="s">
        <v>238</v>
      </c>
      <c r="D225">
        <v>2024</v>
      </c>
      <c r="E225" t="s">
        <v>98</v>
      </c>
      <c r="F225">
        <v>4902</v>
      </c>
      <c r="G225">
        <v>1849</v>
      </c>
      <c r="H225">
        <v>1482</v>
      </c>
      <c r="I225">
        <v>510</v>
      </c>
    </row>
    <row r="226" spans="1:9" x14ac:dyDescent="0.35">
      <c r="A226" t="s">
        <v>119</v>
      </c>
      <c r="B226" t="s">
        <v>262</v>
      </c>
      <c r="C226" s="1" t="s">
        <v>238</v>
      </c>
      <c r="D226">
        <v>2024</v>
      </c>
      <c r="E226" t="s">
        <v>239</v>
      </c>
      <c r="F226">
        <v>4917</v>
      </c>
      <c r="G226">
        <v>1849</v>
      </c>
      <c r="H226">
        <v>1497</v>
      </c>
      <c r="I226">
        <v>690</v>
      </c>
    </row>
    <row r="227" spans="1:9" x14ac:dyDescent="0.35">
      <c r="A227" t="s">
        <v>119</v>
      </c>
      <c r="B227" t="s">
        <v>262</v>
      </c>
      <c r="C227" s="1" t="s">
        <v>238</v>
      </c>
      <c r="D227">
        <v>2024</v>
      </c>
      <c r="E227" t="s">
        <v>98</v>
      </c>
      <c r="F227">
        <v>4917</v>
      </c>
      <c r="G227">
        <v>1849</v>
      </c>
      <c r="H227">
        <v>1497</v>
      </c>
      <c r="I227">
        <v>510</v>
      </c>
    </row>
    <row r="228" spans="1:9" x14ac:dyDescent="0.35">
      <c r="A228" t="s">
        <v>32</v>
      </c>
      <c r="B228" t="s">
        <v>263</v>
      </c>
      <c r="C228" s="1" t="s">
        <v>238</v>
      </c>
      <c r="D228">
        <v>2024</v>
      </c>
      <c r="E228" t="s">
        <v>21</v>
      </c>
      <c r="F228">
        <v>4928</v>
      </c>
      <c r="G228">
        <v>1923</v>
      </c>
      <c r="H228">
        <v>1527</v>
      </c>
      <c r="I228">
        <v>529</v>
      </c>
    </row>
    <row r="229" spans="1:9" x14ac:dyDescent="0.35">
      <c r="A229" t="s">
        <v>96</v>
      </c>
      <c r="B229" t="s">
        <v>264</v>
      </c>
      <c r="C229" s="1" t="s">
        <v>238</v>
      </c>
      <c r="D229">
        <v>2025</v>
      </c>
      <c r="E229" t="s">
        <v>98</v>
      </c>
      <c r="F229">
        <v>4945</v>
      </c>
      <c r="G229">
        <v>1879</v>
      </c>
      <c r="H229">
        <v>1458</v>
      </c>
      <c r="I229">
        <v>488</v>
      </c>
    </row>
    <row r="230" spans="1:9" x14ac:dyDescent="0.35">
      <c r="A230" t="s">
        <v>32</v>
      </c>
      <c r="B230" t="s">
        <v>265</v>
      </c>
      <c r="C230" s="1" t="s">
        <v>238</v>
      </c>
      <c r="D230">
        <v>2023</v>
      </c>
      <c r="E230" t="s">
        <v>94</v>
      </c>
      <c r="F230">
        <v>4939</v>
      </c>
      <c r="G230">
        <v>1886</v>
      </c>
      <c r="H230">
        <v>1494</v>
      </c>
      <c r="I230">
        <v>565</v>
      </c>
    </row>
    <row r="231" spans="1:9" x14ac:dyDescent="0.35">
      <c r="A231" t="s">
        <v>81</v>
      </c>
      <c r="B231" t="s">
        <v>266</v>
      </c>
      <c r="C231" s="1" t="s">
        <v>238</v>
      </c>
      <c r="D231">
        <v>2024</v>
      </c>
      <c r="E231" t="s">
        <v>94</v>
      </c>
      <c r="F231">
        <v>4949</v>
      </c>
      <c r="G231">
        <v>1880</v>
      </c>
      <c r="H231">
        <v>1469</v>
      </c>
      <c r="I231">
        <v>615</v>
      </c>
    </row>
    <row r="232" spans="1:9" x14ac:dyDescent="0.35">
      <c r="A232" t="s">
        <v>81</v>
      </c>
      <c r="B232" t="s">
        <v>266</v>
      </c>
      <c r="C232" s="1" t="s">
        <v>238</v>
      </c>
      <c r="D232">
        <v>2024</v>
      </c>
      <c r="E232" t="s">
        <v>98</v>
      </c>
      <c r="F232">
        <v>4949</v>
      </c>
      <c r="G232">
        <v>1880</v>
      </c>
      <c r="H232">
        <v>1469</v>
      </c>
      <c r="I232">
        <v>460</v>
      </c>
    </row>
    <row r="233" spans="1:9" x14ac:dyDescent="0.35">
      <c r="A233" t="s">
        <v>119</v>
      </c>
      <c r="B233" t="s">
        <v>267</v>
      </c>
      <c r="C233" s="1" t="s">
        <v>238</v>
      </c>
      <c r="D233">
        <v>2024</v>
      </c>
      <c r="E233" t="s">
        <v>21</v>
      </c>
      <c r="F233">
        <v>4961</v>
      </c>
      <c r="G233">
        <v>1862</v>
      </c>
      <c r="H233">
        <v>1551</v>
      </c>
      <c r="I233">
        <v>605</v>
      </c>
    </row>
    <row r="234" spans="1:9" x14ac:dyDescent="0.35">
      <c r="A234" t="s">
        <v>37</v>
      </c>
      <c r="B234" t="s">
        <v>268</v>
      </c>
      <c r="C234" s="1" t="s">
        <v>238</v>
      </c>
      <c r="D234">
        <v>2020</v>
      </c>
      <c r="E234" t="s">
        <v>94</v>
      </c>
      <c r="F234">
        <v>4963</v>
      </c>
      <c r="G234">
        <v>1868</v>
      </c>
      <c r="H234">
        <v>1498</v>
      </c>
      <c r="I234">
        <v>560</v>
      </c>
    </row>
    <row r="235" spans="1:9" x14ac:dyDescent="0.35">
      <c r="A235" t="s">
        <v>37</v>
      </c>
      <c r="B235" t="s">
        <v>268</v>
      </c>
      <c r="C235" s="1" t="s">
        <v>238</v>
      </c>
      <c r="D235">
        <v>2020</v>
      </c>
      <c r="E235" t="s">
        <v>98</v>
      </c>
      <c r="F235">
        <v>4963</v>
      </c>
      <c r="G235">
        <v>1868</v>
      </c>
      <c r="H235">
        <v>1498</v>
      </c>
      <c r="I235">
        <v>430</v>
      </c>
    </row>
    <row r="236" spans="1:9" x14ac:dyDescent="0.35">
      <c r="A236" t="s">
        <v>78</v>
      </c>
      <c r="B236" t="s">
        <v>269</v>
      </c>
      <c r="C236" s="1" t="s">
        <v>238</v>
      </c>
      <c r="D236">
        <v>2021</v>
      </c>
      <c r="E236" t="s">
        <v>122</v>
      </c>
      <c r="F236">
        <v>4964</v>
      </c>
      <c r="G236">
        <v>1890</v>
      </c>
      <c r="H236">
        <v>1494</v>
      </c>
      <c r="I236">
        <v>563</v>
      </c>
    </row>
    <row r="237" spans="1:9" x14ac:dyDescent="0.35">
      <c r="A237" t="s">
        <v>106</v>
      </c>
      <c r="B237" t="s">
        <v>270</v>
      </c>
      <c r="C237" s="1" t="s">
        <v>271</v>
      </c>
      <c r="D237">
        <v>2025</v>
      </c>
      <c r="E237" t="s">
        <v>21</v>
      </c>
      <c r="F237">
        <v>4140</v>
      </c>
      <c r="G237">
        <v>1800</v>
      </c>
      <c r="H237">
        <v>1570</v>
      </c>
      <c r="I237">
        <v>375</v>
      </c>
    </row>
    <row r="238" spans="1:9" x14ac:dyDescent="0.35">
      <c r="A238" t="s">
        <v>37</v>
      </c>
      <c r="B238" t="s">
        <v>272</v>
      </c>
      <c r="C238" s="1" t="s">
        <v>271</v>
      </c>
      <c r="D238">
        <v>2022</v>
      </c>
      <c r="E238" t="s">
        <v>239</v>
      </c>
      <c r="F238">
        <v>4386</v>
      </c>
      <c r="G238">
        <v>1824</v>
      </c>
      <c r="H238">
        <v>1576</v>
      </c>
      <c r="I238">
        <v>470</v>
      </c>
    </row>
    <row r="239" spans="1:9" x14ac:dyDescent="0.35">
      <c r="A239" t="s">
        <v>37</v>
      </c>
      <c r="B239" t="s">
        <v>272</v>
      </c>
      <c r="C239" s="1" t="s">
        <v>271</v>
      </c>
      <c r="D239">
        <v>2022</v>
      </c>
      <c r="E239" t="s">
        <v>98</v>
      </c>
      <c r="F239">
        <v>4386</v>
      </c>
      <c r="G239">
        <v>1824</v>
      </c>
      <c r="H239">
        <v>1576</v>
      </c>
      <c r="I239">
        <v>406</v>
      </c>
    </row>
    <row r="240" spans="1:9" x14ac:dyDescent="0.35">
      <c r="A240" t="s">
        <v>81</v>
      </c>
      <c r="B240" t="s">
        <v>274</v>
      </c>
      <c r="C240" s="1" t="s">
        <v>271</v>
      </c>
      <c r="D240">
        <v>2023</v>
      </c>
      <c r="E240" t="s">
        <v>147</v>
      </c>
      <c r="F240">
        <v>4419</v>
      </c>
      <c r="G240">
        <v>1796</v>
      </c>
      <c r="H240">
        <v>1562</v>
      </c>
      <c r="I240">
        <v>455</v>
      </c>
    </row>
    <row r="241" spans="1:12" x14ac:dyDescent="0.35">
      <c r="A241" t="s">
        <v>81</v>
      </c>
      <c r="B241" t="s">
        <v>274</v>
      </c>
      <c r="C241" s="1" t="s">
        <v>271</v>
      </c>
      <c r="D241">
        <v>2023</v>
      </c>
      <c r="E241" t="s">
        <v>98</v>
      </c>
      <c r="F241">
        <v>4419</v>
      </c>
      <c r="G241">
        <v>1796</v>
      </c>
      <c r="H241">
        <v>1562</v>
      </c>
      <c r="I241">
        <v>445</v>
      </c>
    </row>
    <row r="242" spans="1:12" x14ac:dyDescent="0.35">
      <c r="A242" t="s">
        <v>81</v>
      </c>
      <c r="B242" t="s">
        <v>273</v>
      </c>
      <c r="C242" s="1" t="s">
        <v>271</v>
      </c>
      <c r="D242">
        <v>2022</v>
      </c>
      <c r="E242" t="s">
        <v>20</v>
      </c>
      <c r="F242">
        <v>4498</v>
      </c>
      <c r="G242">
        <v>1859</v>
      </c>
      <c r="H242">
        <v>1852</v>
      </c>
      <c r="I242">
        <v>517</v>
      </c>
    </row>
    <row r="243" spans="1:12" x14ac:dyDescent="0.35">
      <c r="A243" t="s">
        <v>119</v>
      </c>
      <c r="B243" t="s">
        <v>275</v>
      </c>
      <c r="C243" s="1" t="s">
        <v>271</v>
      </c>
      <c r="D243">
        <v>2016</v>
      </c>
      <c r="E243" t="s">
        <v>20</v>
      </c>
      <c r="F243">
        <v>4527</v>
      </c>
      <c r="G243">
        <v>1829</v>
      </c>
      <c r="H243">
        <v>1659</v>
      </c>
      <c r="I243">
        <v>633</v>
      </c>
    </row>
    <row r="244" spans="1:12" x14ac:dyDescent="0.35">
      <c r="A244" t="s">
        <v>129</v>
      </c>
      <c r="B244" t="s">
        <v>276</v>
      </c>
      <c r="C244" s="1" t="s">
        <v>271</v>
      </c>
      <c r="D244">
        <v>2024</v>
      </c>
      <c r="E244" t="s">
        <v>110</v>
      </c>
      <c r="F244">
        <v>5130</v>
      </c>
      <c r="G244">
        <v>1890</v>
      </c>
      <c r="H244">
        <v>1945</v>
      </c>
      <c r="I244">
        <v>0</v>
      </c>
      <c r="L244">
        <v>125000</v>
      </c>
    </row>
    <row r="245" spans="1:12" x14ac:dyDescent="0.35">
      <c r="A245" t="s">
        <v>29</v>
      </c>
      <c r="B245" t="s">
        <v>277</v>
      </c>
      <c r="C245" s="1" t="s">
        <v>271</v>
      </c>
      <c r="D245">
        <v>2022</v>
      </c>
      <c r="E245" t="s">
        <v>145</v>
      </c>
      <c r="F245">
        <v>5253</v>
      </c>
      <c r="G245">
        <v>1997</v>
      </c>
      <c r="H245">
        <v>1990</v>
      </c>
      <c r="I245">
        <v>831</v>
      </c>
    </row>
    <row r="246" spans="1:12" x14ac:dyDescent="0.35">
      <c r="A246" t="s">
        <v>172</v>
      </c>
      <c r="B246" t="s">
        <v>278</v>
      </c>
      <c r="C246" s="1" t="s">
        <v>301</v>
      </c>
      <c r="D246">
        <v>2020</v>
      </c>
      <c r="E246" t="s">
        <v>99</v>
      </c>
      <c r="F246">
        <v>3700</v>
      </c>
      <c r="G246">
        <v>1690</v>
      </c>
      <c r="H246">
        <v>1605</v>
      </c>
      <c r="I246">
        <v>260</v>
      </c>
    </row>
    <row r="247" spans="1:12" x14ac:dyDescent="0.35">
      <c r="A247" t="s">
        <v>195</v>
      </c>
      <c r="B247" t="s">
        <v>279</v>
      </c>
      <c r="C247" s="1" t="s">
        <v>301</v>
      </c>
      <c r="D247">
        <v>2021</v>
      </c>
      <c r="E247" t="s">
        <v>21</v>
      </c>
      <c r="F247">
        <v>3734</v>
      </c>
      <c r="G247">
        <v>1622</v>
      </c>
      <c r="H247">
        <v>1516</v>
      </c>
      <c r="I247">
        <v>300</v>
      </c>
    </row>
    <row r="248" spans="1:12" x14ac:dyDescent="0.35">
      <c r="A248" t="s">
        <v>29</v>
      </c>
      <c r="B248" t="s">
        <v>280</v>
      </c>
      <c r="C248" s="1" t="s">
        <v>301</v>
      </c>
      <c r="D248">
        <v>2025</v>
      </c>
      <c r="E248" t="s">
        <v>21</v>
      </c>
      <c r="F248">
        <v>3825</v>
      </c>
      <c r="G248">
        <v>1610</v>
      </c>
      <c r="H248">
        <v>1575</v>
      </c>
      <c r="I248">
        <v>280</v>
      </c>
    </row>
    <row r="249" spans="1:12" x14ac:dyDescent="0.35">
      <c r="A249" t="s">
        <v>32</v>
      </c>
      <c r="B249" t="s">
        <v>281</v>
      </c>
      <c r="C249" s="1" t="s">
        <v>301</v>
      </c>
      <c r="D249">
        <v>2022</v>
      </c>
      <c r="E249" t="s">
        <v>19</v>
      </c>
      <c r="F249">
        <v>4046</v>
      </c>
      <c r="G249">
        <v>1756</v>
      </c>
      <c r="H249">
        <v>1483</v>
      </c>
      <c r="I249">
        <v>335</v>
      </c>
    </row>
    <row r="250" spans="1:12" x14ac:dyDescent="0.35">
      <c r="A250" t="s">
        <v>49</v>
      </c>
      <c r="B250" t="s">
        <v>282</v>
      </c>
      <c r="C250" s="1" t="s">
        <v>301</v>
      </c>
      <c r="D250">
        <v>2022</v>
      </c>
      <c r="E250" t="s">
        <v>139</v>
      </c>
      <c r="F250">
        <v>4068</v>
      </c>
      <c r="G250">
        <v>1756</v>
      </c>
      <c r="H250">
        <v>1498</v>
      </c>
      <c r="I250">
        <v>311</v>
      </c>
    </row>
    <row r="251" spans="1:12" x14ac:dyDescent="0.35">
      <c r="A251" t="s">
        <v>12</v>
      </c>
      <c r="B251" t="s">
        <v>283</v>
      </c>
      <c r="C251" s="1" t="s">
        <v>301</v>
      </c>
      <c r="D251">
        <v>2025</v>
      </c>
      <c r="E251" t="s">
        <v>21</v>
      </c>
      <c r="F251">
        <v>4079</v>
      </c>
      <c r="G251">
        <v>1754</v>
      </c>
      <c r="H251">
        <v>1514</v>
      </c>
      <c r="I251">
        <v>300</v>
      </c>
    </row>
    <row r="252" spans="1:12" x14ac:dyDescent="0.35">
      <c r="A252" t="s">
        <v>284</v>
      </c>
      <c r="B252" t="s">
        <v>285</v>
      </c>
      <c r="C252" s="1" t="s">
        <v>301</v>
      </c>
      <c r="D252">
        <v>2023</v>
      </c>
      <c r="E252" t="s">
        <v>139</v>
      </c>
      <c r="F252">
        <v>4084</v>
      </c>
      <c r="G252">
        <v>1776</v>
      </c>
      <c r="H252">
        <v>1528</v>
      </c>
      <c r="I252">
        <v>380</v>
      </c>
    </row>
    <row r="253" spans="1:12" x14ac:dyDescent="0.35">
      <c r="A253" t="s">
        <v>284</v>
      </c>
      <c r="B253" t="s">
        <v>285</v>
      </c>
      <c r="C253" s="1" t="s">
        <v>301</v>
      </c>
      <c r="D253">
        <v>2023</v>
      </c>
      <c r="E253" t="s">
        <v>21</v>
      </c>
      <c r="F253">
        <v>4084</v>
      </c>
      <c r="G253">
        <v>1776</v>
      </c>
      <c r="H253">
        <v>1528</v>
      </c>
      <c r="I253">
        <v>355</v>
      </c>
    </row>
    <row r="254" spans="1:12" x14ac:dyDescent="0.35">
      <c r="A254" t="s">
        <v>195</v>
      </c>
      <c r="B254" t="s">
        <v>196</v>
      </c>
      <c r="C254" s="1" t="s">
        <v>301</v>
      </c>
      <c r="D254">
        <v>2021</v>
      </c>
      <c r="E254" t="s">
        <v>20</v>
      </c>
      <c r="F254">
        <v>4099</v>
      </c>
      <c r="G254">
        <v>1848</v>
      </c>
      <c r="H254">
        <v>1587</v>
      </c>
      <c r="I254">
        <v>328</v>
      </c>
    </row>
    <row r="255" spans="1:12" x14ac:dyDescent="0.35">
      <c r="A255" t="s">
        <v>68</v>
      </c>
      <c r="B255" t="s">
        <v>286</v>
      </c>
      <c r="C255" s="1" t="s">
        <v>301</v>
      </c>
      <c r="D255">
        <v>2023</v>
      </c>
      <c r="E255" t="s">
        <v>110</v>
      </c>
      <c r="F255">
        <v>4105</v>
      </c>
      <c r="G255">
        <v>1725</v>
      </c>
      <c r="H255">
        <v>1556</v>
      </c>
      <c r="I255">
        <v>304</v>
      </c>
      <c r="L255">
        <v>27750</v>
      </c>
    </row>
    <row r="256" spans="1:12" x14ac:dyDescent="0.35">
      <c r="A256" t="s">
        <v>53</v>
      </c>
      <c r="B256" t="s">
        <v>287</v>
      </c>
      <c r="C256" s="1" t="s">
        <v>301</v>
      </c>
      <c r="D256">
        <v>2025</v>
      </c>
      <c r="E256" t="s">
        <v>288</v>
      </c>
      <c r="F256">
        <v>4118</v>
      </c>
      <c r="G256">
        <v>1791</v>
      </c>
      <c r="H256">
        <v>1534</v>
      </c>
      <c r="I256">
        <v>350</v>
      </c>
    </row>
    <row r="257" spans="1:12" x14ac:dyDescent="0.35">
      <c r="A257" t="s">
        <v>119</v>
      </c>
      <c r="B257" t="s">
        <v>289</v>
      </c>
      <c r="C257" s="1" t="s">
        <v>301</v>
      </c>
      <c r="D257">
        <v>2024</v>
      </c>
      <c r="E257" t="s">
        <v>19</v>
      </c>
      <c r="F257">
        <v>4127</v>
      </c>
      <c r="G257">
        <v>1760</v>
      </c>
      <c r="H257">
        <v>1573</v>
      </c>
      <c r="I257">
        <v>385</v>
      </c>
    </row>
    <row r="258" spans="1:12" x14ac:dyDescent="0.35">
      <c r="A258" t="s">
        <v>24</v>
      </c>
      <c r="B258" t="s">
        <v>290</v>
      </c>
      <c r="C258" s="1" t="s">
        <v>301</v>
      </c>
      <c r="D258">
        <v>2021</v>
      </c>
      <c r="E258" t="s">
        <v>139</v>
      </c>
      <c r="F258">
        <v>4140</v>
      </c>
      <c r="G258">
        <v>1760</v>
      </c>
      <c r="H258">
        <v>1520</v>
      </c>
      <c r="I258">
        <v>352</v>
      </c>
    </row>
    <row r="259" spans="1:12" x14ac:dyDescent="0.35">
      <c r="A259" t="s">
        <v>47</v>
      </c>
      <c r="B259" t="s">
        <v>291</v>
      </c>
      <c r="C259" s="1" t="s">
        <v>301</v>
      </c>
      <c r="D259">
        <v>2021</v>
      </c>
      <c r="E259" t="s">
        <v>20</v>
      </c>
      <c r="F259">
        <v>4151</v>
      </c>
      <c r="G259">
        <v>1791</v>
      </c>
      <c r="H259">
        <v>1531</v>
      </c>
      <c r="I259">
        <v>350</v>
      </c>
    </row>
    <row r="260" spans="1:12" x14ac:dyDescent="0.35">
      <c r="A260" t="s">
        <v>47</v>
      </c>
      <c r="B260" t="s">
        <v>291</v>
      </c>
      <c r="C260" s="1" t="s">
        <v>301</v>
      </c>
      <c r="D260">
        <v>2021</v>
      </c>
      <c r="E260" t="s">
        <v>21</v>
      </c>
      <c r="F260">
        <v>4151</v>
      </c>
      <c r="G260">
        <v>1791</v>
      </c>
      <c r="H260">
        <v>1531</v>
      </c>
      <c r="I260">
        <v>310</v>
      </c>
    </row>
    <row r="261" spans="1:12" x14ac:dyDescent="0.35">
      <c r="A261" t="s">
        <v>41</v>
      </c>
      <c r="B261" t="s">
        <v>292</v>
      </c>
      <c r="C261" s="1" t="s">
        <v>301</v>
      </c>
      <c r="D261">
        <v>2021</v>
      </c>
      <c r="E261" t="s">
        <v>19</v>
      </c>
      <c r="F261">
        <v>4153</v>
      </c>
      <c r="G261">
        <v>1780</v>
      </c>
      <c r="H261">
        <v>1552</v>
      </c>
      <c r="I261">
        <v>400</v>
      </c>
    </row>
    <row r="262" spans="1:12" x14ac:dyDescent="0.35">
      <c r="A262" t="s">
        <v>75</v>
      </c>
      <c r="B262" t="s">
        <v>293</v>
      </c>
      <c r="C262" s="1" t="s">
        <v>301</v>
      </c>
      <c r="D262">
        <v>2024</v>
      </c>
      <c r="E262" t="s">
        <v>99</v>
      </c>
      <c r="F262">
        <v>4173</v>
      </c>
      <c r="G262">
        <v>1781</v>
      </c>
      <c r="H262">
        <v>1535</v>
      </c>
      <c r="I262">
        <v>400</v>
      </c>
    </row>
    <row r="263" spans="1:12" x14ac:dyDescent="0.35">
      <c r="A263" t="s">
        <v>75</v>
      </c>
      <c r="B263" t="s">
        <v>293</v>
      </c>
      <c r="C263" s="1" t="s">
        <v>301</v>
      </c>
      <c r="D263">
        <v>2024</v>
      </c>
      <c r="E263" t="s">
        <v>21</v>
      </c>
      <c r="F263">
        <v>4173</v>
      </c>
      <c r="G263">
        <v>1781</v>
      </c>
      <c r="H263">
        <v>1535</v>
      </c>
      <c r="I263">
        <v>400</v>
      </c>
    </row>
    <row r="264" spans="1:12" x14ac:dyDescent="0.35">
      <c r="A264" t="s">
        <v>45</v>
      </c>
      <c r="B264" t="s">
        <v>294</v>
      </c>
      <c r="C264" s="1" t="s">
        <v>301</v>
      </c>
      <c r="D264">
        <v>2024</v>
      </c>
      <c r="E264" t="s">
        <v>110</v>
      </c>
      <c r="F264">
        <v>4180</v>
      </c>
      <c r="G264">
        <v>1765</v>
      </c>
      <c r="H264">
        <v>1595</v>
      </c>
      <c r="I264">
        <v>397</v>
      </c>
      <c r="L264">
        <v>27575</v>
      </c>
    </row>
    <row r="265" spans="1:12" x14ac:dyDescent="0.35">
      <c r="A265" t="s">
        <v>29</v>
      </c>
      <c r="B265" t="s">
        <v>295</v>
      </c>
      <c r="C265" s="1" t="s">
        <v>301</v>
      </c>
      <c r="D265">
        <v>2024</v>
      </c>
      <c r="E265" t="s">
        <v>139</v>
      </c>
      <c r="F265">
        <v>4180</v>
      </c>
      <c r="G265">
        <v>1775</v>
      </c>
      <c r="H265">
        <v>1500</v>
      </c>
      <c r="I265">
        <v>411</v>
      </c>
    </row>
    <row r="266" spans="1:12" x14ac:dyDescent="0.35">
      <c r="A266" t="s">
        <v>172</v>
      </c>
      <c r="B266" t="s">
        <v>296</v>
      </c>
      <c r="C266" s="1" t="s">
        <v>301</v>
      </c>
      <c r="D266">
        <v>2024</v>
      </c>
      <c r="E266" t="s">
        <v>99</v>
      </c>
      <c r="F266">
        <v>4185</v>
      </c>
      <c r="G266">
        <v>1775</v>
      </c>
      <c r="H266">
        <v>1600</v>
      </c>
      <c r="I266">
        <v>375</v>
      </c>
    </row>
    <row r="267" spans="1:12" x14ac:dyDescent="0.35">
      <c r="A267" t="s">
        <v>172</v>
      </c>
      <c r="B267" t="s">
        <v>296</v>
      </c>
      <c r="C267" s="1" t="s">
        <v>301</v>
      </c>
      <c r="D267">
        <v>2024</v>
      </c>
      <c r="E267" t="s">
        <v>110</v>
      </c>
      <c r="F267">
        <v>4185</v>
      </c>
      <c r="G267">
        <v>1775</v>
      </c>
      <c r="H267">
        <v>1600</v>
      </c>
      <c r="I267">
        <v>289</v>
      </c>
      <c r="L267">
        <v>28397</v>
      </c>
    </row>
    <row r="268" spans="1:12" x14ac:dyDescent="0.35">
      <c r="A268" t="s">
        <v>49</v>
      </c>
      <c r="B268" t="s">
        <v>297</v>
      </c>
      <c r="C268" s="1" t="s">
        <v>301</v>
      </c>
      <c r="D268">
        <v>2024</v>
      </c>
      <c r="E268" t="s">
        <v>99</v>
      </c>
      <c r="F268">
        <v>4186</v>
      </c>
      <c r="G268">
        <v>1805</v>
      </c>
      <c r="H268">
        <v>1550</v>
      </c>
      <c r="I268">
        <v>456</v>
      </c>
    </row>
    <row r="269" spans="1:12" x14ac:dyDescent="0.35">
      <c r="A269" t="s">
        <v>49</v>
      </c>
      <c r="B269" t="s">
        <v>297</v>
      </c>
      <c r="C269" s="1" t="s">
        <v>301</v>
      </c>
      <c r="D269">
        <v>2024</v>
      </c>
      <c r="E269" t="s">
        <v>21</v>
      </c>
      <c r="F269">
        <v>4186</v>
      </c>
      <c r="G269">
        <v>1805</v>
      </c>
      <c r="H269">
        <v>1550</v>
      </c>
      <c r="I269">
        <v>574</v>
      </c>
    </row>
    <row r="270" spans="1:12" x14ac:dyDescent="0.35">
      <c r="A270" t="s">
        <v>129</v>
      </c>
      <c r="B270" t="s">
        <v>298</v>
      </c>
      <c r="C270" s="1" t="s">
        <v>301</v>
      </c>
      <c r="D270">
        <v>2024</v>
      </c>
      <c r="E270" t="s">
        <v>110</v>
      </c>
      <c r="F270">
        <v>4190</v>
      </c>
      <c r="G270">
        <v>1825</v>
      </c>
      <c r="H270">
        <v>1545</v>
      </c>
      <c r="I270">
        <v>332</v>
      </c>
      <c r="L270">
        <v>33900</v>
      </c>
    </row>
    <row r="271" spans="1:12" x14ac:dyDescent="0.35">
      <c r="A271" t="s">
        <v>24</v>
      </c>
      <c r="B271" t="s">
        <v>299</v>
      </c>
      <c r="C271" s="1" t="s">
        <v>301</v>
      </c>
      <c r="D271">
        <v>2020</v>
      </c>
      <c r="E271" t="s">
        <v>21</v>
      </c>
      <c r="F271">
        <v>4195</v>
      </c>
      <c r="G271">
        <v>1800</v>
      </c>
      <c r="H271">
        <v>1605</v>
      </c>
      <c r="I271">
        <v>315</v>
      </c>
    </row>
    <row r="272" spans="1:12" x14ac:dyDescent="0.35">
      <c r="A272" t="s">
        <v>32</v>
      </c>
      <c r="B272" t="s">
        <v>302</v>
      </c>
      <c r="C272" s="1" t="s">
        <v>300</v>
      </c>
      <c r="D272">
        <v>2021</v>
      </c>
      <c r="E272" t="s">
        <v>20</v>
      </c>
      <c r="F272">
        <v>4208</v>
      </c>
      <c r="G272">
        <v>1794</v>
      </c>
      <c r="H272">
        <v>1508</v>
      </c>
      <c r="I272">
        <v>405</v>
      </c>
    </row>
    <row r="273" spans="1:12" x14ac:dyDescent="0.35">
      <c r="A273" t="s">
        <v>62</v>
      </c>
      <c r="B273" t="s">
        <v>303</v>
      </c>
      <c r="C273" s="1" t="s">
        <v>300</v>
      </c>
      <c r="D273">
        <v>2020</v>
      </c>
      <c r="E273" t="s">
        <v>19</v>
      </c>
      <c r="F273">
        <v>4210</v>
      </c>
      <c r="G273">
        <v>1800</v>
      </c>
      <c r="H273">
        <v>1595</v>
      </c>
      <c r="I273">
        <v>422</v>
      </c>
    </row>
    <row r="274" spans="1:12" x14ac:dyDescent="0.35">
      <c r="A274" t="s">
        <v>62</v>
      </c>
      <c r="B274" t="s">
        <v>303</v>
      </c>
      <c r="C274" s="1" t="s">
        <v>300</v>
      </c>
      <c r="D274">
        <v>2020</v>
      </c>
      <c r="E274" t="s">
        <v>110</v>
      </c>
      <c r="F274">
        <v>4210</v>
      </c>
      <c r="G274">
        <v>1800</v>
      </c>
      <c r="H274">
        <v>1595</v>
      </c>
      <c r="I274">
        <v>354</v>
      </c>
      <c r="L274">
        <v>26000</v>
      </c>
    </row>
    <row r="275" spans="1:12" x14ac:dyDescent="0.35">
      <c r="A275" t="s">
        <v>47</v>
      </c>
      <c r="B275" t="s">
        <v>304</v>
      </c>
      <c r="C275" s="1" t="s">
        <v>300</v>
      </c>
      <c r="D275">
        <v>2021</v>
      </c>
      <c r="E275" t="s">
        <v>20</v>
      </c>
      <c r="F275">
        <v>4212</v>
      </c>
      <c r="G275">
        <v>1765</v>
      </c>
      <c r="H275">
        <v>1605</v>
      </c>
      <c r="I275">
        <v>410</v>
      </c>
    </row>
    <row r="276" spans="1:12" x14ac:dyDescent="0.35">
      <c r="A276" t="s">
        <v>305</v>
      </c>
      <c r="B276" t="s">
        <v>306</v>
      </c>
      <c r="C276" s="1" t="s">
        <v>300</v>
      </c>
      <c r="D276">
        <v>2024</v>
      </c>
      <c r="E276" t="s">
        <v>19</v>
      </c>
      <c r="F276">
        <v>4225</v>
      </c>
      <c r="G276">
        <v>1810</v>
      </c>
      <c r="H276">
        <v>1621</v>
      </c>
      <c r="I276">
        <v>427</v>
      </c>
    </row>
    <row r="277" spans="1:12" x14ac:dyDescent="0.35">
      <c r="A277" t="s">
        <v>170</v>
      </c>
      <c r="B277" t="s">
        <v>307</v>
      </c>
      <c r="C277" s="1" t="s">
        <v>300</v>
      </c>
      <c r="D277">
        <v>2023</v>
      </c>
      <c r="E277" t="s">
        <v>139</v>
      </c>
      <c r="F277">
        <v>4227</v>
      </c>
      <c r="G277">
        <v>1797</v>
      </c>
      <c r="H277">
        <v>1566</v>
      </c>
      <c r="I277">
        <v>401</v>
      </c>
    </row>
    <row r="278" spans="1:12" x14ac:dyDescent="0.35">
      <c r="A278" t="s">
        <v>170</v>
      </c>
      <c r="B278" t="s">
        <v>307</v>
      </c>
      <c r="C278" s="1" t="s">
        <v>300</v>
      </c>
      <c r="D278">
        <v>2023</v>
      </c>
      <c r="E278" t="s">
        <v>110</v>
      </c>
      <c r="F278">
        <v>4227</v>
      </c>
      <c r="G278">
        <v>1797</v>
      </c>
      <c r="H278">
        <v>1566</v>
      </c>
      <c r="I278">
        <v>305</v>
      </c>
      <c r="L278">
        <v>31890</v>
      </c>
    </row>
    <row r="279" spans="1:12" x14ac:dyDescent="0.35">
      <c r="A279" t="s">
        <v>170</v>
      </c>
      <c r="B279" t="s">
        <v>307</v>
      </c>
      <c r="C279" s="1" t="s">
        <v>300</v>
      </c>
      <c r="D279">
        <v>2023</v>
      </c>
      <c r="E279" t="s">
        <v>98</v>
      </c>
      <c r="F279">
        <v>4227</v>
      </c>
      <c r="G279">
        <v>1797</v>
      </c>
      <c r="H279">
        <v>1566</v>
      </c>
      <c r="I279">
        <v>265</v>
      </c>
    </row>
    <row r="280" spans="1:12" x14ac:dyDescent="0.35">
      <c r="A280" t="s">
        <v>96</v>
      </c>
      <c r="B280" t="s">
        <v>309</v>
      </c>
      <c r="C280" s="1" t="s">
        <v>300</v>
      </c>
      <c r="D280">
        <v>2024</v>
      </c>
      <c r="E280" t="s">
        <v>21</v>
      </c>
      <c r="F280">
        <v>4233</v>
      </c>
      <c r="G280">
        <v>1836</v>
      </c>
      <c r="H280">
        <v>1549</v>
      </c>
      <c r="I280">
        <v>318</v>
      </c>
    </row>
    <row r="281" spans="1:12" x14ac:dyDescent="0.35">
      <c r="A281" t="s">
        <v>284</v>
      </c>
      <c r="B281" t="s">
        <v>310</v>
      </c>
      <c r="C281" s="1" t="s">
        <v>300</v>
      </c>
      <c r="D281">
        <v>2019</v>
      </c>
      <c r="E281" t="s">
        <v>239</v>
      </c>
      <c r="F281">
        <v>4236</v>
      </c>
      <c r="G281">
        <v>1805</v>
      </c>
      <c r="H281">
        <v>1697</v>
      </c>
      <c r="I281">
        <v>351</v>
      </c>
    </row>
    <row r="282" spans="1:12" x14ac:dyDescent="0.35">
      <c r="A282" t="s">
        <v>284</v>
      </c>
      <c r="B282" t="s">
        <v>310</v>
      </c>
      <c r="C282" s="1" t="s">
        <v>300</v>
      </c>
      <c r="D282">
        <v>2019</v>
      </c>
      <c r="E282" t="s">
        <v>98</v>
      </c>
      <c r="F282">
        <v>4236</v>
      </c>
      <c r="G282">
        <v>1805</v>
      </c>
      <c r="H282">
        <v>1697</v>
      </c>
      <c r="I282">
        <v>330</v>
      </c>
    </row>
    <row r="283" spans="1:12" x14ac:dyDescent="0.35">
      <c r="A283" t="s">
        <v>119</v>
      </c>
      <c r="B283" t="s">
        <v>311</v>
      </c>
      <c r="C283" s="1" t="s">
        <v>300</v>
      </c>
      <c r="D283">
        <v>2022</v>
      </c>
      <c r="E283" t="s">
        <v>20</v>
      </c>
      <c r="F283">
        <v>4236</v>
      </c>
      <c r="G283">
        <v>1819</v>
      </c>
      <c r="H283">
        <v>1573</v>
      </c>
      <c r="I283">
        <v>445</v>
      </c>
    </row>
    <row r="284" spans="1:12" x14ac:dyDescent="0.35">
      <c r="A284" t="s">
        <v>106</v>
      </c>
      <c r="B284" t="s">
        <v>312</v>
      </c>
      <c r="C284" s="1" t="s">
        <v>300</v>
      </c>
      <c r="D284">
        <v>2024</v>
      </c>
      <c r="E284" t="s">
        <v>139</v>
      </c>
      <c r="F284">
        <v>4239</v>
      </c>
      <c r="G284">
        <v>1797</v>
      </c>
      <c r="H284">
        <v>1575</v>
      </c>
      <c r="I284">
        <v>422</v>
      </c>
    </row>
    <row r="285" spans="1:12" x14ac:dyDescent="0.35">
      <c r="A285" t="s">
        <v>106</v>
      </c>
      <c r="B285" t="s">
        <v>312</v>
      </c>
      <c r="C285" s="1" t="s">
        <v>300</v>
      </c>
      <c r="D285">
        <v>2024</v>
      </c>
      <c r="E285" t="s">
        <v>110</v>
      </c>
      <c r="F285">
        <v>4239</v>
      </c>
      <c r="G285">
        <v>1797</v>
      </c>
      <c r="H285">
        <v>1575</v>
      </c>
      <c r="I285">
        <v>326</v>
      </c>
      <c r="L285">
        <v>26650</v>
      </c>
    </row>
    <row r="286" spans="1:12" x14ac:dyDescent="0.35">
      <c r="A286" t="s">
        <v>7</v>
      </c>
      <c r="B286" t="s">
        <v>313</v>
      </c>
      <c r="C286" s="1" t="s">
        <v>300</v>
      </c>
      <c r="D286">
        <v>2024</v>
      </c>
      <c r="E286" t="s">
        <v>19</v>
      </c>
      <c r="F286">
        <v>4241</v>
      </c>
      <c r="G286">
        <v>1793</v>
      </c>
      <c r="H286">
        <v>1553</v>
      </c>
      <c r="I286">
        <v>400</v>
      </c>
    </row>
    <row r="287" spans="1:12" x14ac:dyDescent="0.35">
      <c r="A287" t="s">
        <v>43</v>
      </c>
      <c r="B287" t="s">
        <v>314</v>
      </c>
      <c r="C287" s="1" t="s">
        <v>300</v>
      </c>
      <c r="D287">
        <v>2019</v>
      </c>
      <c r="E287" t="s">
        <v>239</v>
      </c>
      <c r="F287">
        <v>4264</v>
      </c>
      <c r="G287">
        <v>1796</v>
      </c>
      <c r="H287">
        <v>1595</v>
      </c>
      <c r="I287">
        <v>350</v>
      </c>
    </row>
    <row r="288" spans="1:12" x14ac:dyDescent="0.35">
      <c r="A288" t="s">
        <v>119</v>
      </c>
      <c r="B288" t="s">
        <v>316</v>
      </c>
      <c r="C288" s="1" t="s">
        <v>300</v>
      </c>
      <c r="D288">
        <v>2022</v>
      </c>
      <c r="E288" t="s">
        <v>19</v>
      </c>
      <c r="F288">
        <v>4271</v>
      </c>
      <c r="G288">
        <v>1757</v>
      </c>
      <c r="H288">
        <v>1515</v>
      </c>
      <c r="I288">
        <v>440</v>
      </c>
    </row>
    <row r="289" spans="1:12" x14ac:dyDescent="0.35">
      <c r="A289" t="s">
        <v>102</v>
      </c>
      <c r="B289" t="s">
        <v>317</v>
      </c>
      <c r="C289" s="1" t="s">
        <v>300</v>
      </c>
      <c r="D289">
        <v>2024</v>
      </c>
      <c r="E289" t="s">
        <v>21</v>
      </c>
      <c r="F289">
        <v>4290</v>
      </c>
      <c r="G289">
        <v>1770</v>
      </c>
      <c r="H289">
        <v>1570</v>
      </c>
      <c r="I289">
        <v>345</v>
      </c>
    </row>
    <row r="290" spans="1:12" x14ac:dyDescent="0.35">
      <c r="A290" t="s">
        <v>12</v>
      </c>
      <c r="B290" t="s">
        <v>318</v>
      </c>
      <c r="C290" s="1" t="s">
        <v>300</v>
      </c>
      <c r="D290">
        <v>2024</v>
      </c>
      <c r="E290" t="s">
        <v>90</v>
      </c>
      <c r="F290">
        <v>4433</v>
      </c>
      <c r="G290">
        <v>1843</v>
      </c>
      <c r="H290">
        <v>1665</v>
      </c>
      <c r="I290">
        <v>450</v>
      </c>
    </row>
    <row r="291" spans="1:12" x14ac:dyDescent="0.35">
      <c r="A291" t="s">
        <v>12</v>
      </c>
      <c r="B291" t="s">
        <v>318</v>
      </c>
      <c r="C291" s="1" t="s">
        <v>300</v>
      </c>
      <c r="D291">
        <v>2024</v>
      </c>
      <c r="E291" t="s">
        <v>21</v>
      </c>
      <c r="F291">
        <v>4433</v>
      </c>
      <c r="G291">
        <v>1843</v>
      </c>
      <c r="H291">
        <v>1665</v>
      </c>
      <c r="I291">
        <v>460</v>
      </c>
    </row>
    <row r="292" spans="1:12" x14ac:dyDescent="0.35">
      <c r="A292" t="s">
        <v>172</v>
      </c>
      <c r="B292" t="s">
        <v>319</v>
      </c>
      <c r="C292" s="1" t="s">
        <v>300</v>
      </c>
      <c r="D292">
        <v>2022</v>
      </c>
      <c r="E292" t="s">
        <v>99</v>
      </c>
      <c r="F292">
        <v>4300</v>
      </c>
      <c r="G292">
        <v>1785</v>
      </c>
      <c r="H292">
        <v>1585</v>
      </c>
      <c r="I292">
        <v>430</v>
      </c>
    </row>
    <row r="293" spans="1:12" x14ac:dyDescent="0.35">
      <c r="A293" t="s">
        <v>172</v>
      </c>
      <c r="B293" t="s">
        <v>319</v>
      </c>
      <c r="C293" s="1" t="s">
        <v>300</v>
      </c>
      <c r="D293">
        <v>2022</v>
      </c>
      <c r="E293" t="s">
        <v>110</v>
      </c>
      <c r="F293">
        <v>4300</v>
      </c>
      <c r="G293">
        <v>1785</v>
      </c>
      <c r="H293">
        <v>1585</v>
      </c>
      <c r="I293">
        <v>293</v>
      </c>
      <c r="L293">
        <v>31071</v>
      </c>
    </row>
    <row r="294" spans="1:12" x14ac:dyDescent="0.35">
      <c r="A294" t="s">
        <v>40</v>
      </c>
      <c r="B294" s="2" t="s">
        <v>378</v>
      </c>
      <c r="C294" s="1" t="s">
        <v>300</v>
      </c>
      <c r="D294">
        <v>2023</v>
      </c>
      <c r="E294" t="s">
        <v>320</v>
      </c>
      <c r="F294">
        <v>4304</v>
      </c>
      <c r="G294">
        <v>1770</v>
      </c>
      <c r="H294">
        <v>1550</v>
      </c>
      <c r="I294">
        <v>434</v>
      </c>
    </row>
    <row r="295" spans="1:12" x14ac:dyDescent="0.35">
      <c r="A295" t="s">
        <v>102</v>
      </c>
      <c r="B295" t="s">
        <v>321</v>
      </c>
      <c r="C295" s="1" t="s">
        <v>300</v>
      </c>
      <c r="D295">
        <v>2025</v>
      </c>
      <c r="E295" t="s">
        <v>21</v>
      </c>
      <c r="F295">
        <v>4310</v>
      </c>
      <c r="G295">
        <v>1830</v>
      </c>
      <c r="H295">
        <v>1675</v>
      </c>
      <c r="I295">
        <v>400</v>
      </c>
    </row>
    <row r="296" spans="1:12" x14ac:dyDescent="0.35">
      <c r="A296" t="s">
        <v>10</v>
      </c>
      <c r="B296" t="s">
        <v>322</v>
      </c>
      <c r="C296" s="1" t="s">
        <v>300</v>
      </c>
      <c r="D296">
        <v>2022</v>
      </c>
      <c r="E296" t="s">
        <v>323</v>
      </c>
      <c r="F296">
        <v>4323</v>
      </c>
      <c r="G296">
        <v>1809</v>
      </c>
      <c r="H296">
        <v>1653</v>
      </c>
      <c r="I296">
        <v>448</v>
      </c>
    </row>
    <row r="297" spans="1:12" x14ac:dyDescent="0.35">
      <c r="A297" t="s">
        <v>68</v>
      </c>
      <c r="B297" t="s">
        <v>324</v>
      </c>
      <c r="C297" s="1" t="s">
        <v>300</v>
      </c>
      <c r="D297">
        <v>2022</v>
      </c>
      <c r="E297" t="s">
        <v>22</v>
      </c>
      <c r="F297">
        <v>4340</v>
      </c>
      <c r="G297">
        <v>1790</v>
      </c>
      <c r="H297">
        <v>1582</v>
      </c>
      <c r="I297">
        <v>335</v>
      </c>
      <c r="L297">
        <v>32460</v>
      </c>
    </row>
    <row r="298" spans="1:12" x14ac:dyDescent="0.35">
      <c r="A298" t="s">
        <v>195</v>
      </c>
      <c r="B298" t="s">
        <v>325</v>
      </c>
      <c r="C298" s="1" t="s">
        <v>300</v>
      </c>
      <c r="D298">
        <v>2024</v>
      </c>
      <c r="E298" t="s">
        <v>99</v>
      </c>
      <c r="F298">
        <v>4344</v>
      </c>
      <c r="G298">
        <v>1813</v>
      </c>
      <c r="H298">
        <v>1656</v>
      </c>
      <c r="I298">
        <v>478</v>
      </c>
    </row>
    <row r="299" spans="1:12" x14ac:dyDescent="0.35">
      <c r="A299" t="s">
        <v>195</v>
      </c>
      <c r="B299" t="s">
        <v>325</v>
      </c>
      <c r="C299" s="1" t="s">
        <v>300</v>
      </c>
      <c r="D299">
        <v>2024</v>
      </c>
      <c r="E299" t="s">
        <v>110</v>
      </c>
      <c r="F299">
        <v>4344</v>
      </c>
      <c r="G299">
        <v>1813</v>
      </c>
      <c r="H299">
        <v>1656</v>
      </c>
      <c r="I299">
        <v>430</v>
      </c>
      <c r="L299">
        <v>26250</v>
      </c>
    </row>
    <row r="300" spans="1:12" x14ac:dyDescent="0.35">
      <c r="A300" t="s">
        <v>45</v>
      </c>
      <c r="B300" t="s">
        <v>327</v>
      </c>
      <c r="C300" s="1" t="s">
        <v>300</v>
      </c>
      <c r="D300">
        <v>2024</v>
      </c>
      <c r="E300" t="s">
        <v>110</v>
      </c>
      <c r="F300">
        <v>4360</v>
      </c>
      <c r="G300">
        <v>1830</v>
      </c>
      <c r="H300">
        <v>1570</v>
      </c>
      <c r="I300">
        <v>388</v>
      </c>
      <c r="L300">
        <v>32050</v>
      </c>
    </row>
    <row r="301" spans="1:12" x14ac:dyDescent="0.35">
      <c r="A301" t="s">
        <v>45</v>
      </c>
      <c r="B301" t="s">
        <v>327</v>
      </c>
      <c r="C301" s="1" t="s">
        <v>300</v>
      </c>
      <c r="D301">
        <v>2024</v>
      </c>
      <c r="E301" t="s">
        <v>98</v>
      </c>
      <c r="F301">
        <v>4360</v>
      </c>
      <c r="G301">
        <v>1830</v>
      </c>
      <c r="H301">
        <v>1570</v>
      </c>
      <c r="I301">
        <v>310</v>
      </c>
    </row>
    <row r="302" spans="1:12" x14ac:dyDescent="0.35">
      <c r="A302" t="s">
        <v>328</v>
      </c>
      <c r="B302" t="s">
        <v>329</v>
      </c>
      <c r="C302" s="1" t="s">
        <v>300</v>
      </c>
      <c r="D302">
        <v>2019</v>
      </c>
      <c r="E302" t="s">
        <v>330</v>
      </c>
      <c r="F302">
        <v>4371</v>
      </c>
      <c r="G302">
        <v>1904</v>
      </c>
      <c r="H302">
        <v>1649</v>
      </c>
      <c r="I302">
        <v>472</v>
      </c>
    </row>
    <row r="303" spans="1:12" x14ac:dyDescent="0.35">
      <c r="A303" t="s">
        <v>41</v>
      </c>
      <c r="B303" t="s">
        <v>331</v>
      </c>
      <c r="C303" s="1" t="s">
        <v>300</v>
      </c>
      <c r="D303">
        <v>2020</v>
      </c>
      <c r="E303" t="s">
        <v>20</v>
      </c>
      <c r="F303">
        <v>4381</v>
      </c>
      <c r="G303">
        <v>1841</v>
      </c>
      <c r="H303">
        <v>1615</v>
      </c>
      <c r="I303">
        <v>510</v>
      </c>
    </row>
    <row r="304" spans="1:12" x14ac:dyDescent="0.35">
      <c r="A304" t="s">
        <v>47</v>
      </c>
      <c r="B304" t="s">
        <v>332</v>
      </c>
      <c r="C304" s="1" t="s">
        <v>300</v>
      </c>
      <c r="D304">
        <v>2025</v>
      </c>
      <c r="E304" t="s">
        <v>288</v>
      </c>
      <c r="F304">
        <v>4385</v>
      </c>
      <c r="G304">
        <v>1795</v>
      </c>
      <c r="H304">
        <v>1655</v>
      </c>
      <c r="I304">
        <v>460</v>
      </c>
    </row>
    <row r="305" spans="1:9" x14ac:dyDescent="0.35">
      <c r="A305" t="s">
        <v>27</v>
      </c>
      <c r="B305" t="s">
        <v>331</v>
      </c>
      <c r="C305" s="1" t="s">
        <v>300</v>
      </c>
      <c r="D305">
        <v>2020</v>
      </c>
      <c r="E305" t="s">
        <v>19</v>
      </c>
      <c r="F305">
        <v>4386</v>
      </c>
      <c r="G305">
        <v>1841</v>
      </c>
      <c r="H305">
        <v>1613</v>
      </c>
      <c r="I305">
        <v>485</v>
      </c>
    </row>
    <row r="306" spans="1:9" x14ac:dyDescent="0.35">
      <c r="A306" t="s">
        <v>43</v>
      </c>
      <c r="B306" t="s">
        <v>333</v>
      </c>
      <c r="C306" s="1" t="s">
        <v>300</v>
      </c>
      <c r="D306">
        <v>2021</v>
      </c>
      <c r="E306" t="s">
        <v>239</v>
      </c>
      <c r="F306">
        <v>4386</v>
      </c>
      <c r="G306">
        <v>1802</v>
      </c>
      <c r="H306">
        <v>1556</v>
      </c>
      <c r="I306">
        <v>440</v>
      </c>
    </row>
    <row r="307" spans="1:9" x14ac:dyDescent="0.35">
      <c r="A307" t="s">
        <v>68</v>
      </c>
      <c r="B307" t="s">
        <v>334</v>
      </c>
      <c r="C307" s="1" t="s">
        <v>300</v>
      </c>
      <c r="D307">
        <v>2024</v>
      </c>
      <c r="E307" t="s">
        <v>21</v>
      </c>
      <c r="F307">
        <v>4387</v>
      </c>
      <c r="G307">
        <v>1790</v>
      </c>
      <c r="H307">
        <v>1584</v>
      </c>
      <c r="I307">
        <v>361</v>
      </c>
    </row>
    <row r="308" spans="1:9" x14ac:dyDescent="0.35">
      <c r="A308" t="s">
        <v>7</v>
      </c>
      <c r="B308" t="s">
        <v>335</v>
      </c>
      <c r="C308" s="1" t="s">
        <v>300</v>
      </c>
      <c r="D308">
        <v>2022</v>
      </c>
      <c r="E308" t="s">
        <v>20</v>
      </c>
      <c r="F308">
        <v>4390</v>
      </c>
      <c r="G308">
        <v>1841</v>
      </c>
      <c r="H308">
        <v>1603</v>
      </c>
      <c r="I308">
        <v>521</v>
      </c>
    </row>
    <row r="309" spans="1:9" x14ac:dyDescent="0.35">
      <c r="A309" t="s">
        <v>60</v>
      </c>
      <c r="B309" t="s">
        <v>336</v>
      </c>
      <c r="C309" s="1" t="s">
        <v>300</v>
      </c>
      <c r="D309">
        <v>2020</v>
      </c>
      <c r="E309" t="s">
        <v>99</v>
      </c>
      <c r="F309">
        <v>4395</v>
      </c>
      <c r="G309">
        <v>1795</v>
      </c>
      <c r="H309">
        <v>1540</v>
      </c>
      <c r="I309">
        <v>430</v>
      </c>
    </row>
    <row r="310" spans="1:9" x14ac:dyDescent="0.35">
      <c r="A310" t="s">
        <v>284</v>
      </c>
      <c r="B310" t="s">
        <v>337</v>
      </c>
      <c r="C310" s="1" t="s">
        <v>300</v>
      </c>
      <c r="D310">
        <v>2021</v>
      </c>
      <c r="E310" t="s">
        <v>20</v>
      </c>
      <c r="F310">
        <v>4395</v>
      </c>
      <c r="G310">
        <v>1820</v>
      </c>
      <c r="H310">
        <v>1640</v>
      </c>
      <c r="I310">
        <v>438</v>
      </c>
    </row>
    <row r="311" spans="1:9" x14ac:dyDescent="0.35">
      <c r="A311" t="s">
        <v>284</v>
      </c>
      <c r="B311" t="s">
        <v>337</v>
      </c>
      <c r="C311" s="1" t="s">
        <v>300</v>
      </c>
      <c r="D311">
        <v>2021</v>
      </c>
      <c r="E311" t="s">
        <v>99</v>
      </c>
      <c r="F311">
        <v>4395</v>
      </c>
      <c r="G311">
        <v>1820</v>
      </c>
      <c r="H311">
        <v>1640</v>
      </c>
      <c r="I311">
        <v>424</v>
      </c>
    </row>
    <row r="312" spans="1:9" x14ac:dyDescent="0.35">
      <c r="A312" t="s">
        <v>284</v>
      </c>
      <c r="B312" t="s">
        <v>337</v>
      </c>
      <c r="C312" s="1" t="s">
        <v>300</v>
      </c>
      <c r="D312">
        <v>2021</v>
      </c>
      <c r="E312" t="s">
        <v>98</v>
      </c>
      <c r="F312">
        <v>4395</v>
      </c>
      <c r="G312">
        <v>1820</v>
      </c>
      <c r="H312">
        <v>1640</v>
      </c>
      <c r="I312">
        <v>420</v>
      </c>
    </row>
    <row r="313" spans="1:9" x14ac:dyDescent="0.35">
      <c r="A313" t="s">
        <v>78</v>
      </c>
      <c r="B313" t="s">
        <v>338</v>
      </c>
      <c r="C313" s="1" t="s">
        <v>300</v>
      </c>
      <c r="D313">
        <v>2021</v>
      </c>
      <c r="E313" t="s">
        <v>339</v>
      </c>
      <c r="F313">
        <v>4395</v>
      </c>
      <c r="G313">
        <v>1900</v>
      </c>
      <c r="H313">
        <v>1648</v>
      </c>
      <c r="I313">
        <v>394</v>
      </c>
    </row>
    <row r="314" spans="1:9" x14ac:dyDescent="0.35">
      <c r="A314" t="s">
        <v>24</v>
      </c>
      <c r="B314" t="s">
        <v>340</v>
      </c>
      <c r="C314" s="1" t="s">
        <v>300</v>
      </c>
      <c r="D314">
        <v>2023</v>
      </c>
      <c r="E314" t="s">
        <v>341</v>
      </c>
      <c r="F314">
        <v>4395</v>
      </c>
      <c r="G314">
        <v>1826</v>
      </c>
      <c r="H314">
        <v>1483</v>
      </c>
      <c r="I314">
        <v>426</v>
      </c>
    </row>
    <row r="315" spans="1:9" x14ac:dyDescent="0.35">
      <c r="A315" t="s">
        <v>24</v>
      </c>
      <c r="B315" t="s">
        <v>340</v>
      </c>
      <c r="C315" s="1" t="s">
        <v>300</v>
      </c>
      <c r="D315">
        <v>2023</v>
      </c>
      <c r="E315" t="s">
        <v>98</v>
      </c>
      <c r="F315">
        <v>4395</v>
      </c>
      <c r="G315">
        <v>1826</v>
      </c>
      <c r="H315">
        <v>1483</v>
      </c>
      <c r="I315">
        <v>291</v>
      </c>
    </row>
    <row r="316" spans="1:9" x14ac:dyDescent="0.35">
      <c r="A316" t="s">
        <v>34</v>
      </c>
      <c r="B316" t="s">
        <v>342</v>
      </c>
      <c r="C316" s="1" t="s">
        <v>300</v>
      </c>
      <c r="D316">
        <v>2024</v>
      </c>
      <c r="E316" t="s">
        <v>320</v>
      </c>
      <c r="F316">
        <v>4395</v>
      </c>
      <c r="G316">
        <v>1850</v>
      </c>
      <c r="H316">
        <v>1660</v>
      </c>
      <c r="I316">
        <v>460</v>
      </c>
    </row>
    <row r="317" spans="1:9" x14ac:dyDescent="0.35">
      <c r="A317" t="s">
        <v>49</v>
      </c>
      <c r="B317" t="s">
        <v>343</v>
      </c>
      <c r="C317" s="1" t="s">
        <v>300</v>
      </c>
      <c r="D317">
        <v>2022</v>
      </c>
      <c r="E317" t="s">
        <v>239</v>
      </c>
      <c r="F317">
        <v>4397</v>
      </c>
      <c r="G317">
        <v>1844</v>
      </c>
      <c r="H317">
        <v>1502</v>
      </c>
      <c r="I317">
        <v>392</v>
      </c>
    </row>
    <row r="318" spans="1:9" x14ac:dyDescent="0.35">
      <c r="A318" t="s">
        <v>315</v>
      </c>
      <c r="B318" t="s">
        <v>344</v>
      </c>
      <c r="C318" s="1" t="s">
        <v>300</v>
      </c>
      <c r="D318">
        <v>2024</v>
      </c>
      <c r="E318" t="s">
        <v>21</v>
      </c>
      <c r="F318">
        <v>4400</v>
      </c>
      <c r="G318">
        <v>1844</v>
      </c>
      <c r="H318">
        <v>1556</v>
      </c>
      <c r="I318">
        <v>385</v>
      </c>
    </row>
    <row r="319" spans="1:9" x14ac:dyDescent="0.35">
      <c r="A319" t="s">
        <v>81</v>
      </c>
      <c r="B319" t="s">
        <v>345</v>
      </c>
      <c r="C319" s="1" t="s">
        <v>300</v>
      </c>
      <c r="D319">
        <v>2020</v>
      </c>
      <c r="E319" t="s">
        <v>20</v>
      </c>
      <c r="F319">
        <v>4410</v>
      </c>
      <c r="G319">
        <v>1834</v>
      </c>
      <c r="H319">
        <v>1616</v>
      </c>
      <c r="I319">
        <v>435</v>
      </c>
    </row>
    <row r="320" spans="1:9" x14ac:dyDescent="0.35">
      <c r="A320" t="s">
        <v>81</v>
      </c>
      <c r="B320" t="s">
        <v>345</v>
      </c>
      <c r="C320" s="1" t="s">
        <v>300</v>
      </c>
      <c r="D320">
        <v>2020</v>
      </c>
      <c r="E320" t="s">
        <v>98</v>
      </c>
      <c r="F320">
        <v>4410</v>
      </c>
      <c r="G320">
        <v>1834</v>
      </c>
      <c r="H320">
        <v>1616</v>
      </c>
      <c r="I320">
        <v>385</v>
      </c>
    </row>
    <row r="321" spans="1:12" x14ac:dyDescent="0.35">
      <c r="A321" t="s">
        <v>106</v>
      </c>
      <c r="B321" t="s">
        <v>346</v>
      </c>
      <c r="C321" s="1" t="s">
        <v>300</v>
      </c>
      <c r="D321">
        <v>2025</v>
      </c>
      <c r="E321" t="s">
        <v>110</v>
      </c>
      <c r="F321">
        <v>4413</v>
      </c>
      <c r="G321">
        <v>1797</v>
      </c>
      <c r="H321">
        <v>1575</v>
      </c>
      <c r="I321">
        <v>434</v>
      </c>
      <c r="L321">
        <v>29626</v>
      </c>
    </row>
    <row r="322" spans="1:12" x14ac:dyDescent="0.35">
      <c r="A322" t="s">
        <v>24</v>
      </c>
      <c r="B322" t="s">
        <v>347</v>
      </c>
      <c r="C322" s="1" t="s">
        <v>300</v>
      </c>
      <c r="D322">
        <v>2022</v>
      </c>
      <c r="E322" t="s">
        <v>99</v>
      </c>
      <c r="F322">
        <v>4420</v>
      </c>
      <c r="G322">
        <v>1825</v>
      </c>
      <c r="H322">
        <v>1570</v>
      </c>
      <c r="I322">
        <v>451</v>
      </c>
    </row>
    <row r="323" spans="1:12" x14ac:dyDescent="0.35">
      <c r="A323" t="s">
        <v>24</v>
      </c>
      <c r="B323" t="s">
        <v>347</v>
      </c>
      <c r="C323" s="1" t="s">
        <v>300</v>
      </c>
      <c r="D323">
        <v>2022</v>
      </c>
      <c r="E323" t="s">
        <v>98</v>
      </c>
      <c r="F323">
        <v>4420</v>
      </c>
      <c r="G323">
        <v>1825</v>
      </c>
      <c r="H323">
        <v>1570</v>
      </c>
      <c r="I323">
        <v>348</v>
      </c>
    </row>
    <row r="324" spans="1:12" x14ac:dyDescent="0.35">
      <c r="A324" t="s">
        <v>24</v>
      </c>
      <c r="B324" t="s">
        <v>347</v>
      </c>
      <c r="C324" s="1" t="s">
        <v>300</v>
      </c>
      <c r="D324">
        <v>2022</v>
      </c>
      <c r="E324" t="s">
        <v>21</v>
      </c>
      <c r="F324">
        <v>4420</v>
      </c>
      <c r="G324">
        <v>1825</v>
      </c>
      <c r="H324">
        <v>1570</v>
      </c>
      <c r="I324">
        <v>495</v>
      </c>
    </row>
    <row r="325" spans="1:12" x14ac:dyDescent="0.35">
      <c r="A325" t="s">
        <v>62</v>
      </c>
      <c r="B325" t="s">
        <v>349</v>
      </c>
      <c r="C325" s="1" t="s">
        <v>300</v>
      </c>
      <c r="D325">
        <v>2024</v>
      </c>
      <c r="E325" t="s">
        <v>326</v>
      </c>
      <c r="F325">
        <v>4425</v>
      </c>
      <c r="G325">
        <v>1838</v>
      </c>
      <c r="H325">
        <v>1635</v>
      </c>
      <c r="I325">
        <v>480</v>
      </c>
      <c r="L325">
        <v>32200</v>
      </c>
    </row>
    <row r="326" spans="1:12" ht="14.5" customHeight="1" x14ac:dyDescent="0.35">
      <c r="A326" t="s">
        <v>96</v>
      </c>
      <c r="B326" t="s">
        <v>350</v>
      </c>
      <c r="C326" s="1" t="s">
        <v>300</v>
      </c>
      <c r="D326">
        <v>2023</v>
      </c>
      <c r="E326" t="s">
        <v>351</v>
      </c>
      <c r="F326">
        <v>4440</v>
      </c>
      <c r="G326">
        <v>1863</v>
      </c>
      <c r="H326">
        <v>1652</v>
      </c>
      <c r="I326">
        <v>450</v>
      </c>
    </row>
    <row r="327" spans="1:12" x14ac:dyDescent="0.35">
      <c r="A327" t="s">
        <v>352</v>
      </c>
      <c r="B327" t="s">
        <v>353</v>
      </c>
      <c r="C327" s="1" t="s">
        <v>300</v>
      </c>
      <c r="D327">
        <v>2020</v>
      </c>
      <c r="E327" t="s">
        <v>36</v>
      </c>
      <c r="F327">
        <v>4450</v>
      </c>
      <c r="G327">
        <v>1870</v>
      </c>
      <c r="H327">
        <v>1629</v>
      </c>
      <c r="I327">
        <v>551</v>
      </c>
    </row>
    <row r="328" spans="1:12" x14ac:dyDescent="0.35">
      <c r="A328" t="s">
        <v>27</v>
      </c>
      <c r="B328" t="s">
        <v>354</v>
      </c>
      <c r="C328" s="1" t="s">
        <v>300</v>
      </c>
      <c r="D328">
        <v>2024</v>
      </c>
      <c r="E328" t="s">
        <v>239</v>
      </c>
      <c r="F328">
        <v>4451</v>
      </c>
      <c r="G328">
        <v>1839</v>
      </c>
      <c r="H328">
        <v>1520</v>
      </c>
      <c r="I328">
        <v>450</v>
      </c>
    </row>
    <row r="329" spans="1:12" x14ac:dyDescent="0.35">
      <c r="A329" t="s">
        <v>27</v>
      </c>
      <c r="B329" t="s">
        <v>354</v>
      </c>
      <c r="C329" s="1" t="s">
        <v>300</v>
      </c>
      <c r="D329">
        <v>2024</v>
      </c>
      <c r="E329" t="s">
        <v>98</v>
      </c>
      <c r="F329">
        <v>4451</v>
      </c>
      <c r="G329">
        <v>1839</v>
      </c>
      <c r="H329">
        <v>1520</v>
      </c>
      <c r="I329">
        <v>345</v>
      </c>
    </row>
    <row r="330" spans="1:12" x14ac:dyDescent="0.35">
      <c r="A330" t="s">
        <v>102</v>
      </c>
      <c r="B330" t="s">
        <v>355</v>
      </c>
      <c r="C330" s="1" t="s">
        <v>300</v>
      </c>
      <c r="D330">
        <v>2023</v>
      </c>
      <c r="E330" t="s">
        <v>21</v>
      </c>
      <c r="F330">
        <v>4455</v>
      </c>
      <c r="G330">
        <v>1875</v>
      </c>
      <c r="H330">
        <v>1615</v>
      </c>
      <c r="I330">
        <v>440</v>
      </c>
    </row>
    <row r="331" spans="1:12" x14ac:dyDescent="0.35">
      <c r="A331" t="s">
        <v>45</v>
      </c>
      <c r="B331" t="s">
        <v>356</v>
      </c>
      <c r="C331" s="1" t="s">
        <v>300</v>
      </c>
      <c r="D331">
        <v>2023</v>
      </c>
      <c r="E331" t="s">
        <v>110</v>
      </c>
      <c r="F331">
        <v>4460</v>
      </c>
      <c r="G331">
        <v>1825</v>
      </c>
      <c r="H331">
        <v>1620</v>
      </c>
      <c r="I331">
        <v>433</v>
      </c>
      <c r="L331">
        <v>38000</v>
      </c>
    </row>
    <row r="332" spans="1:12" x14ac:dyDescent="0.35">
      <c r="A332" t="s">
        <v>49</v>
      </c>
      <c r="B332" t="s">
        <v>357</v>
      </c>
      <c r="C332" s="1" t="s">
        <v>300</v>
      </c>
      <c r="D332">
        <v>2024</v>
      </c>
      <c r="E332" t="s">
        <v>21</v>
      </c>
      <c r="F332">
        <v>4460</v>
      </c>
      <c r="G332">
        <v>1870</v>
      </c>
      <c r="H332">
        <v>1600</v>
      </c>
      <c r="I332">
        <v>470</v>
      </c>
    </row>
    <row r="333" spans="1:12" x14ac:dyDescent="0.35">
      <c r="A333" t="s">
        <v>81</v>
      </c>
      <c r="B333" t="s">
        <v>358</v>
      </c>
      <c r="C333" s="1" t="s">
        <v>300</v>
      </c>
      <c r="D333">
        <v>2021</v>
      </c>
      <c r="E333" t="s">
        <v>21</v>
      </c>
      <c r="F333">
        <v>4463</v>
      </c>
      <c r="G333">
        <v>1834</v>
      </c>
      <c r="H333">
        <v>1620</v>
      </c>
      <c r="I333">
        <v>340</v>
      </c>
    </row>
    <row r="334" spans="1:12" x14ac:dyDescent="0.35">
      <c r="A334" t="s">
        <v>305</v>
      </c>
      <c r="B334" t="s">
        <v>359</v>
      </c>
      <c r="C334" s="1" t="s">
        <v>300</v>
      </c>
      <c r="D334">
        <v>2024</v>
      </c>
      <c r="E334" t="s">
        <v>19</v>
      </c>
      <c r="F334">
        <v>4480</v>
      </c>
      <c r="G334">
        <v>1810</v>
      </c>
      <c r="H334">
        <v>1660</v>
      </c>
      <c r="I334">
        <v>720</v>
      </c>
    </row>
    <row r="335" spans="1:12" x14ac:dyDescent="0.35">
      <c r="A335" t="s">
        <v>32</v>
      </c>
      <c r="B335" t="s">
        <v>360</v>
      </c>
      <c r="C335" s="1" t="s">
        <v>300</v>
      </c>
      <c r="D335">
        <v>2019</v>
      </c>
      <c r="E335" t="s">
        <v>20</v>
      </c>
      <c r="F335">
        <v>4484</v>
      </c>
      <c r="G335">
        <v>1856</v>
      </c>
      <c r="H335">
        <v>1585</v>
      </c>
      <c r="I335">
        <v>530</v>
      </c>
    </row>
    <row r="336" spans="1:12" x14ac:dyDescent="0.35">
      <c r="A336" t="s">
        <v>32</v>
      </c>
      <c r="B336" t="s">
        <v>360</v>
      </c>
      <c r="C336" s="1" t="s">
        <v>300</v>
      </c>
      <c r="D336">
        <v>2019</v>
      </c>
      <c r="E336" t="s">
        <v>99</v>
      </c>
      <c r="F336">
        <v>4484</v>
      </c>
      <c r="G336">
        <v>1856</v>
      </c>
      <c r="H336">
        <v>1585</v>
      </c>
      <c r="I336">
        <v>410</v>
      </c>
    </row>
    <row r="337" spans="1:12" x14ac:dyDescent="0.35">
      <c r="A337" t="s">
        <v>32</v>
      </c>
      <c r="B337" t="s">
        <v>360</v>
      </c>
      <c r="C337" s="1" t="s">
        <v>300</v>
      </c>
      <c r="D337">
        <v>2019</v>
      </c>
      <c r="E337" t="s">
        <v>98</v>
      </c>
      <c r="F337">
        <v>4484</v>
      </c>
      <c r="G337">
        <v>1856</v>
      </c>
      <c r="H337">
        <v>1585</v>
      </c>
      <c r="I337">
        <v>380</v>
      </c>
    </row>
    <row r="338" spans="1:12" x14ac:dyDescent="0.35">
      <c r="A338" t="s">
        <v>7</v>
      </c>
      <c r="B338" t="s">
        <v>361</v>
      </c>
      <c r="C338" s="1" t="s">
        <v>300</v>
      </c>
      <c r="D338">
        <v>2025</v>
      </c>
      <c r="E338" t="s">
        <v>21</v>
      </c>
      <c r="F338">
        <v>4488</v>
      </c>
      <c r="G338">
        <v>1884</v>
      </c>
      <c r="H338">
        <v>1654</v>
      </c>
      <c r="I338">
        <v>470</v>
      </c>
    </row>
    <row r="339" spans="1:12" x14ac:dyDescent="0.35">
      <c r="A339" t="s">
        <v>129</v>
      </c>
      <c r="B339" t="s">
        <v>362</v>
      </c>
      <c r="C339" s="1" t="s">
        <v>300</v>
      </c>
      <c r="D339">
        <v>2023</v>
      </c>
      <c r="E339" t="s">
        <v>110</v>
      </c>
      <c r="F339">
        <v>4495</v>
      </c>
      <c r="G339">
        <v>1840</v>
      </c>
      <c r="H339">
        <v>1540</v>
      </c>
      <c r="I339">
        <v>320</v>
      </c>
      <c r="L339">
        <v>41300</v>
      </c>
    </row>
    <row r="340" spans="1:12" x14ac:dyDescent="0.35">
      <c r="A340" t="s">
        <v>129</v>
      </c>
      <c r="B340" t="s">
        <v>362</v>
      </c>
      <c r="C340" s="1" t="s">
        <v>300</v>
      </c>
      <c r="D340">
        <v>2023</v>
      </c>
      <c r="E340" t="s">
        <v>21</v>
      </c>
      <c r="F340">
        <v>4495</v>
      </c>
      <c r="G340">
        <v>1840</v>
      </c>
      <c r="H340">
        <v>1540</v>
      </c>
      <c r="I340">
        <v>367</v>
      </c>
    </row>
    <row r="341" spans="1:12" x14ac:dyDescent="0.35">
      <c r="A341" t="s">
        <v>363</v>
      </c>
      <c r="B341" t="s">
        <v>364</v>
      </c>
      <c r="C341" s="1" t="s">
        <v>300</v>
      </c>
      <c r="D341">
        <v>2024</v>
      </c>
      <c r="E341" t="s">
        <v>99</v>
      </c>
      <c r="F341">
        <v>4495</v>
      </c>
      <c r="G341">
        <v>1800</v>
      </c>
      <c r="H341">
        <v>1600</v>
      </c>
      <c r="I341">
        <v>315</v>
      </c>
    </row>
    <row r="342" spans="1:12" x14ac:dyDescent="0.35">
      <c r="A342" t="s">
        <v>32</v>
      </c>
      <c r="B342" t="s">
        <v>365</v>
      </c>
      <c r="C342" s="1" t="s">
        <v>300</v>
      </c>
      <c r="D342">
        <v>2020</v>
      </c>
      <c r="E342" t="s">
        <v>20</v>
      </c>
      <c r="F342">
        <v>4500</v>
      </c>
      <c r="G342">
        <v>1843</v>
      </c>
      <c r="H342">
        <v>1556</v>
      </c>
      <c r="I342">
        <v>530</v>
      </c>
    </row>
    <row r="343" spans="1:12" x14ac:dyDescent="0.35">
      <c r="A343" t="s">
        <v>32</v>
      </c>
      <c r="B343" t="s">
        <v>365</v>
      </c>
      <c r="C343" s="1" t="s">
        <v>300</v>
      </c>
      <c r="D343">
        <v>2020</v>
      </c>
      <c r="E343" t="s">
        <v>99</v>
      </c>
      <c r="F343">
        <v>4500</v>
      </c>
      <c r="G343">
        <v>1843</v>
      </c>
      <c r="H343">
        <v>1556</v>
      </c>
      <c r="I343">
        <v>410</v>
      </c>
    </row>
    <row r="344" spans="1:12" x14ac:dyDescent="0.35">
      <c r="A344" t="s">
        <v>32</v>
      </c>
      <c r="B344" t="s">
        <v>365</v>
      </c>
      <c r="C344" s="1" t="s">
        <v>300</v>
      </c>
      <c r="D344">
        <v>2020</v>
      </c>
      <c r="E344" t="s">
        <v>98</v>
      </c>
      <c r="F344">
        <v>4500</v>
      </c>
      <c r="G344">
        <v>1843</v>
      </c>
      <c r="H344">
        <v>1556</v>
      </c>
      <c r="I344">
        <v>380</v>
      </c>
    </row>
    <row r="345" spans="1:12" x14ac:dyDescent="0.35">
      <c r="A345" t="s">
        <v>29</v>
      </c>
      <c r="B345" t="s">
        <v>366</v>
      </c>
      <c r="C345" s="1" t="s">
        <v>300</v>
      </c>
      <c r="D345">
        <v>2021</v>
      </c>
      <c r="E345" t="s">
        <v>20</v>
      </c>
      <c r="F345">
        <v>4500</v>
      </c>
      <c r="G345">
        <v>1865</v>
      </c>
      <c r="H345">
        <v>1650</v>
      </c>
      <c r="I345">
        <v>598</v>
      </c>
    </row>
    <row r="346" spans="1:12" x14ac:dyDescent="0.35">
      <c r="A346" t="s">
        <v>29</v>
      </c>
      <c r="B346" t="s">
        <v>366</v>
      </c>
      <c r="C346" s="1" t="s">
        <v>300</v>
      </c>
      <c r="D346">
        <v>2021</v>
      </c>
      <c r="E346" t="s">
        <v>94</v>
      </c>
      <c r="F346">
        <v>4500</v>
      </c>
      <c r="G346">
        <v>1865</v>
      </c>
      <c r="H346">
        <v>1650</v>
      </c>
      <c r="I346">
        <v>546</v>
      </c>
    </row>
    <row r="347" spans="1:12" x14ac:dyDescent="0.35">
      <c r="A347" t="s">
        <v>29</v>
      </c>
      <c r="B347" t="s">
        <v>366</v>
      </c>
      <c r="C347" s="1" t="s">
        <v>300</v>
      </c>
      <c r="D347">
        <v>2021</v>
      </c>
      <c r="E347" t="s">
        <v>110</v>
      </c>
      <c r="F347">
        <v>4500</v>
      </c>
      <c r="G347">
        <v>1865</v>
      </c>
      <c r="H347">
        <v>1650</v>
      </c>
      <c r="I347">
        <v>616</v>
      </c>
      <c r="L347">
        <v>40325</v>
      </c>
    </row>
    <row r="348" spans="1:12" x14ac:dyDescent="0.35">
      <c r="A348" t="s">
        <v>29</v>
      </c>
      <c r="B348" t="s">
        <v>366</v>
      </c>
      <c r="C348" s="1" t="s">
        <v>300</v>
      </c>
      <c r="D348">
        <v>2021</v>
      </c>
      <c r="E348" t="s">
        <v>420</v>
      </c>
      <c r="F348">
        <v>4500</v>
      </c>
      <c r="G348">
        <v>1865</v>
      </c>
      <c r="H348">
        <v>1650</v>
      </c>
      <c r="I348">
        <v>558</v>
      </c>
    </row>
    <row r="349" spans="1:12" x14ac:dyDescent="0.35">
      <c r="A349" t="s">
        <v>29</v>
      </c>
      <c r="B349" t="s">
        <v>368</v>
      </c>
      <c r="C349" s="1" t="s">
        <v>367</v>
      </c>
      <c r="D349">
        <v>2023</v>
      </c>
      <c r="E349" t="s">
        <v>369</v>
      </c>
      <c r="F349">
        <v>4355</v>
      </c>
      <c r="G349">
        <v>1825</v>
      </c>
      <c r="H349">
        <v>1575</v>
      </c>
      <c r="I349">
        <v>466</v>
      </c>
      <c r="L349">
        <v>33540</v>
      </c>
    </row>
    <row r="350" spans="1:12" x14ac:dyDescent="0.35">
      <c r="A350" t="s">
        <v>29</v>
      </c>
      <c r="B350" t="s">
        <v>368</v>
      </c>
      <c r="C350" s="1" t="s">
        <v>367</v>
      </c>
      <c r="D350">
        <v>2023</v>
      </c>
      <c r="E350" t="s">
        <v>21</v>
      </c>
      <c r="F350">
        <v>4355</v>
      </c>
      <c r="G350">
        <v>1825</v>
      </c>
      <c r="H350">
        <v>1575</v>
      </c>
      <c r="I350">
        <v>466</v>
      </c>
    </row>
    <row r="351" spans="1:12" x14ac:dyDescent="0.35">
      <c r="A351" t="s">
        <v>106</v>
      </c>
      <c r="B351" t="s">
        <v>370</v>
      </c>
      <c r="C351" s="1" t="s">
        <v>367</v>
      </c>
      <c r="D351">
        <v>2022</v>
      </c>
      <c r="E351" t="s">
        <v>99</v>
      </c>
      <c r="F351">
        <v>4510</v>
      </c>
      <c r="G351">
        <v>1825</v>
      </c>
      <c r="H351">
        <v>1618</v>
      </c>
      <c r="I351">
        <v>500</v>
      </c>
    </row>
    <row r="352" spans="1:12" x14ac:dyDescent="0.35">
      <c r="A352" t="s">
        <v>106</v>
      </c>
      <c r="B352" t="s">
        <v>370</v>
      </c>
      <c r="C352" s="1" t="s">
        <v>367</v>
      </c>
      <c r="D352">
        <v>2022</v>
      </c>
      <c r="E352" t="s">
        <v>110</v>
      </c>
      <c r="F352">
        <v>4510</v>
      </c>
      <c r="G352">
        <v>1825</v>
      </c>
      <c r="H352">
        <v>1618</v>
      </c>
      <c r="I352">
        <v>430</v>
      </c>
      <c r="L352">
        <v>35815</v>
      </c>
    </row>
    <row r="353" spans="1:12" x14ac:dyDescent="0.35">
      <c r="A353" t="s">
        <v>24</v>
      </c>
      <c r="B353" t="s">
        <v>371</v>
      </c>
      <c r="C353" s="1" t="s">
        <v>367</v>
      </c>
      <c r="D353">
        <v>2022</v>
      </c>
      <c r="E353" t="s">
        <v>20</v>
      </c>
      <c r="F353">
        <v>4515</v>
      </c>
      <c r="G353">
        <v>1865</v>
      </c>
      <c r="H353">
        <v>1645</v>
      </c>
      <c r="I353">
        <v>591</v>
      </c>
    </row>
    <row r="354" spans="1:12" x14ac:dyDescent="0.35">
      <c r="A354" t="s">
        <v>24</v>
      </c>
      <c r="B354" t="s">
        <v>371</v>
      </c>
      <c r="C354" s="1" t="s">
        <v>367</v>
      </c>
      <c r="D354">
        <v>2022</v>
      </c>
      <c r="E354" t="s">
        <v>94</v>
      </c>
      <c r="F354">
        <v>4515</v>
      </c>
      <c r="G354">
        <v>1865</v>
      </c>
      <c r="H354">
        <v>1645</v>
      </c>
      <c r="I354">
        <v>562</v>
      </c>
    </row>
    <row r="355" spans="1:12" x14ac:dyDescent="0.35">
      <c r="A355" t="s">
        <v>24</v>
      </c>
      <c r="B355" t="s">
        <v>371</v>
      </c>
      <c r="C355" s="1" t="s">
        <v>367</v>
      </c>
      <c r="D355">
        <v>2022</v>
      </c>
      <c r="E355" t="s">
        <v>110</v>
      </c>
      <c r="F355">
        <v>4515</v>
      </c>
      <c r="G355">
        <v>1865</v>
      </c>
      <c r="H355">
        <v>1645</v>
      </c>
      <c r="I355">
        <v>587</v>
      </c>
      <c r="L355">
        <v>33460</v>
      </c>
    </row>
    <row r="356" spans="1:12" x14ac:dyDescent="0.35">
      <c r="A356" t="s">
        <v>24</v>
      </c>
      <c r="B356" t="s">
        <v>371</v>
      </c>
      <c r="C356" s="1" t="s">
        <v>367</v>
      </c>
      <c r="D356">
        <v>2022</v>
      </c>
      <c r="E356" t="s">
        <v>98</v>
      </c>
      <c r="F356">
        <v>4515</v>
      </c>
      <c r="G356">
        <v>1865</v>
      </c>
      <c r="H356">
        <v>1645</v>
      </c>
      <c r="I356">
        <v>540</v>
      </c>
    </row>
    <row r="357" spans="1:12" x14ac:dyDescent="0.35">
      <c r="A357" t="s">
        <v>27</v>
      </c>
      <c r="B357" t="s">
        <v>372</v>
      </c>
      <c r="C357" s="1" t="s">
        <v>367</v>
      </c>
      <c r="D357">
        <v>2025</v>
      </c>
      <c r="E357" t="s">
        <v>139</v>
      </c>
      <c r="F357">
        <v>4519</v>
      </c>
      <c r="G357">
        <v>1869</v>
      </c>
      <c r="H357">
        <v>1586</v>
      </c>
      <c r="I357">
        <v>540</v>
      </c>
    </row>
    <row r="358" spans="1:12" x14ac:dyDescent="0.35">
      <c r="A358" t="s">
        <v>27</v>
      </c>
      <c r="B358" t="s">
        <v>372</v>
      </c>
      <c r="C358" s="1" t="s">
        <v>367</v>
      </c>
      <c r="D358">
        <v>2025</v>
      </c>
      <c r="E358" t="s">
        <v>98</v>
      </c>
      <c r="F358">
        <v>4519</v>
      </c>
      <c r="G358">
        <v>1869</v>
      </c>
      <c r="H358">
        <v>1586</v>
      </c>
      <c r="I358">
        <v>450</v>
      </c>
    </row>
    <row r="359" spans="1:12" x14ac:dyDescent="0.35">
      <c r="A359" t="s">
        <v>75</v>
      </c>
      <c r="B359" t="s">
        <v>373</v>
      </c>
      <c r="C359" s="1" t="s">
        <v>367</v>
      </c>
      <c r="D359">
        <v>2022</v>
      </c>
      <c r="E359" t="s">
        <v>374</v>
      </c>
      <c r="F359">
        <v>4530</v>
      </c>
      <c r="G359">
        <v>1840</v>
      </c>
      <c r="H359">
        <v>1600</v>
      </c>
      <c r="I359">
        <v>500</v>
      </c>
    </row>
    <row r="360" spans="1:12" x14ac:dyDescent="0.35">
      <c r="A360" t="s">
        <v>119</v>
      </c>
      <c r="B360" t="s">
        <v>375</v>
      </c>
      <c r="C360" s="1" t="s">
        <v>367</v>
      </c>
      <c r="D360">
        <v>2024</v>
      </c>
      <c r="E360" t="s">
        <v>374</v>
      </c>
      <c r="F360">
        <v>4539</v>
      </c>
      <c r="G360">
        <v>1842</v>
      </c>
      <c r="H360">
        <v>1660</v>
      </c>
      <c r="I360">
        <v>550</v>
      </c>
    </row>
    <row r="361" spans="1:12" x14ac:dyDescent="0.35">
      <c r="A361" t="s">
        <v>376</v>
      </c>
      <c r="B361" s="2" t="s">
        <v>377</v>
      </c>
      <c r="C361" s="1" t="s">
        <v>367</v>
      </c>
      <c r="D361">
        <v>2021</v>
      </c>
      <c r="E361" t="s">
        <v>98</v>
      </c>
      <c r="F361">
        <v>4541</v>
      </c>
      <c r="G361">
        <v>1857</v>
      </c>
      <c r="H361">
        <v>1694</v>
      </c>
      <c r="I361">
        <v>466</v>
      </c>
    </row>
    <row r="362" spans="1:12" x14ac:dyDescent="0.35">
      <c r="A362" t="s">
        <v>40</v>
      </c>
      <c r="B362" s="2" t="s">
        <v>383</v>
      </c>
      <c r="C362" s="1" t="s">
        <v>367</v>
      </c>
      <c r="D362">
        <v>2024</v>
      </c>
      <c r="E362" t="s">
        <v>348</v>
      </c>
      <c r="F362">
        <v>4542</v>
      </c>
      <c r="G362">
        <v>1895</v>
      </c>
      <c r="H362">
        <v>1641</v>
      </c>
      <c r="I362">
        <v>520</v>
      </c>
    </row>
    <row r="363" spans="1:12" x14ac:dyDescent="0.35">
      <c r="A363" t="s">
        <v>170</v>
      </c>
      <c r="B363" t="s">
        <v>384</v>
      </c>
      <c r="C363" s="1" t="s">
        <v>367</v>
      </c>
      <c r="D363">
        <v>2021</v>
      </c>
      <c r="E363" t="s">
        <v>98</v>
      </c>
      <c r="F363">
        <v>4545</v>
      </c>
      <c r="G363">
        <v>1805</v>
      </c>
      <c r="H363">
        <v>1685</v>
      </c>
      <c r="I363">
        <v>404</v>
      </c>
    </row>
    <row r="364" spans="1:12" x14ac:dyDescent="0.35">
      <c r="A364" t="s">
        <v>195</v>
      </c>
      <c r="B364" t="s">
        <v>385</v>
      </c>
      <c r="C364" s="1" t="s">
        <v>367</v>
      </c>
      <c r="D364">
        <v>2022</v>
      </c>
      <c r="E364" t="s">
        <v>216</v>
      </c>
      <c r="F364">
        <v>4547</v>
      </c>
      <c r="G364">
        <v>1784</v>
      </c>
      <c r="H364">
        <v>1632</v>
      </c>
      <c r="I364">
        <v>565</v>
      </c>
      <c r="L364">
        <v>25050</v>
      </c>
    </row>
    <row r="365" spans="1:12" x14ac:dyDescent="0.35">
      <c r="A365" t="s">
        <v>37</v>
      </c>
      <c r="B365" t="s">
        <v>386</v>
      </c>
      <c r="C365" s="1" t="s">
        <v>367</v>
      </c>
      <c r="D365">
        <v>2024</v>
      </c>
      <c r="E365" t="s">
        <v>241</v>
      </c>
      <c r="F365">
        <v>4554</v>
      </c>
      <c r="G365">
        <v>1845</v>
      </c>
      <c r="H365">
        <v>1590</v>
      </c>
      <c r="I365">
        <v>560</v>
      </c>
    </row>
    <row r="366" spans="1:12" x14ac:dyDescent="0.35">
      <c r="A366" t="s">
        <v>106</v>
      </c>
      <c r="B366" t="s">
        <v>387</v>
      </c>
      <c r="C366" s="1" t="s">
        <v>367</v>
      </c>
      <c r="D366">
        <v>2021</v>
      </c>
      <c r="E366" t="s">
        <v>19</v>
      </c>
      <c r="F366">
        <v>4568</v>
      </c>
      <c r="G366">
        <v>1821</v>
      </c>
      <c r="H366">
        <v>1571</v>
      </c>
      <c r="I366">
        <v>513</v>
      </c>
    </row>
    <row r="367" spans="1:12" x14ac:dyDescent="0.35">
      <c r="A367" t="s">
        <v>106</v>
      </c>
      <c r="B367" t="s">
        <v>387</v>
      </c>
      <c r="C367" s="1" t="s">
        <v>367</v>
      </c>
      <c r="D367">
        <v>2021</v>
      </c>
      <c r="E367" t="s">
        <v>110</v>
      </c>
      <c r="F367">
        <v>4568</v>
      </c>
      <c r="G367">
        <v>1821</v>
      </c>
      <c r="H367">
        <v>1571</v>
      </c>
      <c r="I367">
        <v>480</v>
      </c>
      <c r="L367">
        <v>29697</v>
      </c>
    </row>
    <row r="368" spans="1:12" x14ac:dyDescent="0.35">
      <c r="A368" t="s">
        <v>68</v>
      </c>
      <c r="B368" t="s">
        <v>388</v>
      </c>
      <c r="C368" s="1" t="s">
        <v>367</v>
      </c>
      <c r="D368">
        <v>2023</v>
      </c>
      <c r="E368" t="s">
        <v>110</v>
      </c>
      <c r="F368">
        <v>4568</v>
      </c>
      <c r="G368">
        <v>1840</v>
      </c>
      <c r="H368">
        <v>1620</v>
      </c>
      <c r="I368">
        <v>380</v>
      </c>
      <c r="L368">
        <v>39950</v>
      </c>
    </row>
    <row r="369" spans="1:12" x14ac:dyDescent="0.35">
      <c r="A369" t="s">
        <v>195</v>
      </c>
      <c r="B369" t="s">
        <v>389</v>
      </c>
      <c r="C369" s="1" t="s">
        <v>367</v>
      </c>
      <c r="D369">
        <v>2025</v>
      </c>
      <c r="E369" t="s">
        <v>326</v>
      </c>
      <c r="F369">
        <v>4570</v>
      </c>
      <c r="G369">
        <v>1810</v>
      </c>
      <c r="H369">
        <v>1710</v>
      </c>
      <c r="I369">
        <v>667</v>
      </c>
      <c r="L369">
        <v>29250</v>
      </c>
    </row>
    <row r="370" spans="1:12" x14ac:dyDescent="0.35">
      <c r="A370" t="s">
        <v>60</v>
      </c>
      <c r="B370" t="s">
        <v>390</v>
      </c>
      <c r="C370" s="1" t="s">
        <v>367</v>
      </c>
      <c r="D370">
        <v>2022</v>
      </c>
      <c r="E370" t="s">
        <v>112</v>
      </c>
      <c r="F370">
        <v>4575</v>
      </c>
      <c r="G370">
        <v>1845</v>
      </c>
      <c r="H370">
        <v>1685</v>
      </c>
      <c r="I370">
        <v>522</v>
      </c>
    </row>
    <row r="371" spans="1:12" x14ac:dyDescent="0.35">
      <c r="A371" t="s">
        <v>119</v>
      </c>
      <c r="B371" t="s">
        <v>391</v>
      </c>
      <c r="C371" s="1" t="s">
        <v>367</v>
      </c>
      <c r="D371">
        <v>2021</v>
      </c>
      <c r="E371" t="s">
        <v>21</v>
      </c>
      <c r="F371">
        <v>4584</v>
      </c>
      <c r="G371">
        <v>1852</v>
      </c>
      <c r="H371">
        <v>1634</v>
      </c>
      <c r="I371">
        <v>543</v>
      </c>
    </row>
    <row r="372" spans="1:12" x14ac:dyDescent="0.35">
      <c r="A372" t="s">
        <v>32</v>
      </c>
      <c r="B372" t="s">
        <v>392</v>
      </c>
      <c r="C372" s="1" t="s">
        <v>367</v>
      </c>
      <c r="D372">
        <v>2021</v>
      </c>
      <c r="E372" t="s">
        <v>21</v>
      </c>
      <c r="F372">
        <v>4588</v>
      </c>
      <c r="G372">
        <v>1865</v>
      </c>
      <c r="H372">
        <v>1632</v>
      </c>
      <c r="I372">
        <v>520</v>
      </c>
    </row>
    <row r="373" spans="1:12" x14ac:dyDescent="0.35">
      <c r="A373" t="s">
        <v>62</v>
      </c>
      <c r="B373" t="s">
        <v>393</v>
      </c>
      <c r="C373" s="1" t="s">
        <v>367</v>
      </c>
      <c r="D373">
        <v>2021</v>
      </c>
      <c r="E373" t="s">
        <v>21</v>
      </c>
      <c r="F373">
        <v>4595</v>
      </c>
      <c r="G373">
        <v>1850</v>
      </c>
      <c r="H373">
        <v>1660</v>
      </c>
      <c r="I373">
        <v>466</v>
      </c>
    </row>
    <row r="374" spans="1:12" x14ac:dyDescent="0.35">
      <c r="A374" t="s">
        <v>53</v>
      </c>
      <c r="B374" t="s">
        <v>394</v>
      </c>
      <c r="C374" s="1" t="s">
        <v>367</v>
      </c>
      <c r="D374">
        <v>2023</v>
      </c>
      <c r="E374" t="s">
        <v>395</v>
      </c>
      <c r="F374">
        <v>4595</v>
      </c>
      <c r="G374">
        <v>1895</v>
      </c>
      <c r="H374">
        <v>1631</v>
      </c>
      <c r="I374">
        <v>555</v>
      </c>
    </row>
    <row r="375" spans="1:12" x14ac:dyDescent="0.35">
      <c r="A375" t="s">
        <v>328</v>
      </c>
      <c r="B375" t="s">
        <v>396</v>
      </c>
      <c r="C375" s="1" t="s">
        <v>367</v>
      </c>
      <c r="D375">
        <v>2017</v>
      </c>
      <c r="E375" t="s">
        <v>339</v>
      </c>
      <c r="F375">
        <v>4597</v>
      </c>
      <c r="G375">
        <v>1920</v>
      </c>
      <c r="H375">
        <v>1727</v>
      </c>
      <c r="I375">
        <v>541</v>
      </c>
    </row>
    <row r="376" spans="1:12" x14ac:dyDescent="0.35">
      <c r="A376" t="s">
        <v>119</v>
      </c>
      <c r="B376" t="s">
        <v>397</v>
      </c>
      <c r="C376" s="1" t="s">
        <v>367</v>
      </c>
      <c r="D376">
        <v>2022</v>
      </c>
      <c r="E376" t="s">
        <v>21</v>
      </c>
      <c r="F376">
        <v>4599</v>
      </c>
      <c r="G376">
        <v>1852</v>
      </c>
      <c r="H376">
        <v>1616</v>
      </c>
      <c r="I376">
        <v>549</v>
      </c>
    </row>
    <row r="377" spans="1:12" x14ac:dyDescent="0.35">
      <c r="A377" t="s">
        <v>45</v>
      </c>
      <c r="B377" t="s">
        <v>398</v>
      </c>
      <c r="C377" s="1" t="s">
        <v>367</v>
      </c>
      <c r="D377">
        <v>2019</v>
      </c>
      <c r="E377" t="s">
        <v>110</v>
      </c>
      <c r="F377">
        <v>4600</v>
      </c>
      <c r="G377">
        <v>1855</v>
      </c>
      <c r="H377">
        <v>1685</v>
      </c>
      <c r="I377">
        <v>580</v>
      </c>
      <c r="L377">
        <v>41500</v>
      </c>
    </row>
    <row r="378" spans="1:12" x14ac:dyDescent="0.35">
      <c r="A378" t="s">
        <v>45</v>
      </c>
      <c r="B378" t="s">
        <v>398</v>
      </c>
      <c r="C378" s="1" t="s">
        <v>367</v>
      </c>
      <c r="D378">
        <v>2019</v>
      </c>
      <c r="E378" t="s">
        <v>98</v>
      </c>
      <c r="F378">
        <v>4600</v>
      </c>
      <c r="G378">
        <v>1855</v>
      </c>
      <c r="H378">
        <v>1685</v>
      </c>
      <c r="I378">
        <v>520</v>
      </c>
    </row>
    <row r="379" spans="1:12" x14ac:dyDescent="0.35">
      <c r="A379" t="s">
        <v>49</v>
      </c>
      <c r="B379" t="s">
        <v>399</v>
      </c>
      <c r="C379" s="1" t="s">
        <v>367</v>
      </c>
      <c r="D379">
        <v>2024</v>
      </c>
      <c r="E379" t="s">
        <v>882</v>
      </c>
      <c r="F379">
        <v>4604</v>
      </c>
      <c r="G379">
        <v>1882</v>
      </c>
      <c r="H379">
        <v>1679</v>
      </c>
      <c r="I379">
        <v>482</v>
      </c>
    </row>
    <row r="380" spans="1:12" x14ac:dyDescent="0.35">
      <c r="A380" t="s">
        <v>10</v>
      </c>
      <c r="B380" t="s">
        <v>400</v>
      </c>
      <c r="C380" s="1" t="s">
        <v>367</v>
      </c>
      <c r="D380">
        <v>2024</v>
      </c>
      <c r="E380" t="s">
        <v>19</v>
      </c>
      <c r="F380">
        <v>4610</v>
      </c>
      <c r="G380">
        <v>1876</v>
      </c>
      <c r="H380">
        <v>1685</v>
      </c>
      <c r="I380">
        <v>463</v>
      </c>
    </row>
    <row r="381" spans="1:12" x14ac:dyDescent="0.35">
      <c r="A381" t="s">
        <v>10</v>
      </c>
      <c r="B381" t="s">
        <v>400</v>
      </c>
      <c r="C381" s="1" t="s">
        <v>367</v>
      </c>
      <c r="D381">
        <v>2024</v>
      </c>
      <c r="E381" t="s">
        <v>98</v>
      </c>
      <c r="F381">
        <v>4610</v>
      </c>
      <c r="G381">
        <v>1876</v>
      </c>
      <c r="H381">
        <v>1685</v>
      </c>
      <c r="I381">
        <v>448</v>
      </c>
    </row>
    <row r="382" spans="1:12" x14ac:dyDescent="0.35">
      <c r="A382" t="s">
        <v>81</v>
      </c>
      <c r="B382" t="s">
        <v>401</v>
      </c>
      <c r="C382" s="1" t="s">
        <v>367</v>
      </c>
      <c r="D382">
        <v>2020</v>
      </c>
      <c r="E382" t="s">
        <v>20</v>
      </c>
      <c r="F382">
        <v>4634</v>
      </c>
      <c r="G382">
        <v>1834</v>
      </c>
      <c r="H382">
        <v>1658</v>
      </c>
      <c r="I382">
        <v>570</v>
      </c>
    </row>
    <row r="383" spans="1:12" x14ac:dyDescent="0.35">
      <c r="A383" t="s">
        <v>172</v>
      </c>
      <c r="B383" t="s">
        <v>402</v>
      </c>
      <c r="C383" s="1" t="s">
        <v>367</v>
      </c>
      <c r="D383">
        <v>2020</v>
      </c>
      <c r="E383" t="s">
        <v>98</v>
      </c>
      <c r="F383">
        <v>4635</v>
      </c>
      <c r="G383">
        <v>1855</v>
      </c>
      <c r="H383">
        <v>1690</v>
      </c>
      <c r="I383">
        <v>490</v>
      </c>
    </row>
    <row r="384" spans="1:12" x14ac:dyDescent="0.35">
      <c r="A384" t="s">
        <v>27</v>
      </c>
      <c r="B384" t="s">
        <v>403</v>
      </c>
      <c r="C384" s="1" t="s">
        <v>367</v>
      </c>
      <c r="D384">
        <v>2024</v>
      </c>
      <c r="E384" t="s">
        <v>21</v>
      </c>
      <c r="F384">
        <v>4644</v>
      </c>
      <c r="G384">
        <v>1861</v>
      </c>
      <c r="H384">
        <v>1597</v>
      </c>
      <c r="I384">
        <v>540</v>
      </c>
    </row>
    <row r="385" spans="1:12" x14ac:dyDescent="0.35">
      <c r="A385" t="s">
        <v>7</v>
      </c>
      <c r="B385" t="s">
        <v>404</v>
      </c>
      <c r="C385" s="1" t="s">
        <v>367</v>
      </c>
      <c r="D385">
        <v>2021</v>
      </c>
      <c r="E385" t="s">
        <v>21</v>
      </c>
      <c r="F385">
        <v>4649</v>
      </c>
      <c r="G385">
        <v>1879</v>
      </c>
      <c r="H385">
        <v>1616</v>
      </c>
      <c r="I385">
        <v>585</v>
      </c>
    </row>
    <row r="386" spans="1:12" x14ac:dyDescent="0.35">
      <c r="A386" t="s">
        <v>47</v>
      </c>
      <c r="B386" t="s">
        <v>405</v>
      </c>
      <c r="C386" s="1" t="s">
        <v>367</v>
      </c>
      <c r="D386">
        <v>2025</v>
      </c>
      <c r="E386" t="s">
        <v>348</v>
      </c>
      <c r="F386">
        <v>4650</v>
      </c>
      <c r="G386">
        <v>1905</v>
      </c>
      <c r="H386">
        <v>1661</v>
      </c>
      <c r="I386">
        <v>550</v>
      </c>
    </row>
    <row r="387" spans="1:12" x14ac:dyDescent="0.35">
      <c r="A387" t="s">
        <v>29</v>
      </c>
      <c r="B387" t="s">
        <v>406</v>
      </c>
      <c r="C387" s="1" t="s">
        <v>367</v>
      </c>
      <c r="D387">
        <v>2024</v>
      </c>
      <c r="E387" t="s">
        <v>21</v>
      </c>
      <c r="F387">
        <v>4655</v>
      </c>
      <c r="G387">
        <v>1890</v>
      </c>
      <c r="H387">
        <v>1605</v>
      </c>
      <c r="I387">
        <v>577</v>
      </c>
    </row>
    <row r="388" spans="1:12" x14ac:dyDescent="0.35">
      <c r="A388" t="s">
        <v>129</v>
      </c>
      <c r="B388" t="s">
        <v>407</v>
      </c>
      <c r="C388" s="1" t="s">
        <v>367</v>
      </c>
      <c r="D388">
        <v>2022</v>
      </c>
      <c r="E388" t="s">
        <v>308</v>
      </c>
      <c r="F388">
        <v>4660</v>
      </c>
      <c r="G388">
        <v>1865</v>
      </c>
      <c r="H388">
        <v>1640</v>
      </c>
      <c r="I388">
        <v>555</v>
      </c>
      <c r="L388">
        <v>58300</v>
      </c>
    </row>
    <row r="389" spans="1:12" x14ac:dyDescent="0.35">
      <c r="A389" t="s">
        <v>29</v>
      </c>
      <c r="B389" t="s">
        <v>408</v>
      </c>
      <c r="C389" s="1" t="s">
        <v>367</v>
      </c>
      <c r="D389">
        <v>2018</v>
      </c>
      <c r="E389" t="s">
        <v>128</v>
      </c>
      <c r="F389">
        <v>4670</v>
      </c>
      <c r="G389">
        <v>1860</v>
      </c>
      <c r="H389">
        <v>1640</v>
      </c>
      <c r="I389">
        <v>461</v>
      </c>
    </row>
    <row r="390" spans="1:12" x14ac:dyDescent="0.35">
      <c r="A390" t="s">
        <v>363</v>
      </c>
      <c r="B390" t="s">
        <v>409</v>
      </c>
      <c r="C390" s="1" t="s">
        <v>367</v>
      </c>
      <c r="D390">
        <v>2025</v>
      </c>
      <c r="E390" t="s">
        <v>110</v>
      </c>
      <c r="F390">
        <v>4670</v>
      </c>
      <c r="G390">
        <v>1830</v>
      </c>
      <c r="H390">
        <v>1730</v>
      </c>
      <c r="I390">
        <v>508</v>
      </c>
      <c r="L390">
        <v>41050</v>
      </c>
    </row>
    <row r="391" spans="1:12" x14ac:dyDescent="0.35">
      <c r="A391" t="s">
        <v>62</v>
      </c>
      <c r="B391" t="s">
        <v>410</v>
      </c>
      <c r="C391" s="1" t="s">
        <v>367</v>
      </c>
      <c r="D391">
        <v>2023</v>
      </c>
      <c r="E391" t="s">
        <v>99</v>
      </c>
      <c r="F391">
        <v>4680</v>
      </c>
      <c r="G391">
        <v>1840</v>
      </c>
      <c r="H391">
        <v>1725</v>
      </c>
      <c r="I391">
        <v>585</v>
      </c>
    </row>
    <row r="392" spans="1:12" x14ac:dyDescent="0.35">
      <c r="A392" t="s">
        <v>62</v>
      </c>
      <c r="B392" t="s">
        <v>410</v>
      </c>
      <c r="C392" s="1" t="s">
        <v>367</v>
      </c>
      <c r="D392">
        <v>2023</v>
      </c>
      <c r="E392" t="s">
        <v>110</v>
      </c>
      <c r="F392">
        <v>4680</v>
      </c>
      <c r="G392">
        <v>1840</v>
      </c>
      <c r="H392">
        <v>1725</v>
      </c>
      <c r="I392">
        <v>575</v>
      </c>
      <c r="L392">
        <v>32900</v>
      </c>
    </row>
    <row r="393" spans="1:12" x14ac:dyDescent="0.35">
      <c r="A393" t="s">
        <v>78</v>
      </c>
      <c r="B393" t="s">
        <v>411</v>
      </c>
      <c r="C393" s="1" t="s">
        <v>367</v>
      </c>
      <c r="D393">
        <v>2018</v>
      </c>
      <c r="E393" t="s">
        <v>21</v>
      </c>
      <c r="F393">
        <v>4682</v>
      </c>
      <c r="G393">
        <v>1895</v>
      </c>
      <c r="H393">
        <v>1565</v>
      </c>
      <c r="I393">
        <v>505</v>
      </c>
    </row>
    <row r="394" spans="1:12" x14ac:dyDescent="0.35">
      <c r="A394" t="s">
        <v>75</v>
      </c>
      <c r="B394" t="s">
        <v>412</v>
      </c>
      <c r="C394" s="1" t="s">
        <v>367</v>
      </c>
      <c r="D394">
        <v>2023</v>
      </c>
      <c r="E394" t="s">
        <v>20</v>
      </c>
      <c r="F394">
        <v>4687</v>
      </c>
      <c r="G394">
        <v>1903</v>
      </c>
      <c r="H394">
        <v>1671</v>
      </c>
      <c r="I394">
        <v>525</v>
      </c>
    </row>
    <row r="395" spans="1:12" x14ac:dyDescent="0.35">
      <c r="A395" t="s">
        <v>45</v>
      </c>
      <c r="B395" t="s">
        <v>413</v>
      </c>
      <c r="C395" s="1" t="s">
        <v>367</v>
      </c>
      <c r="D395">
        <v>2022</v>
      </c>
      <c r="E395" t="s">
        <v>21</v>
      </c>
      <c r="F395">
        <v>4690</v>
      </c>
      <c r="G395">
        <v>1860</v>
      </c>
      <c r="H395">
        <v>1650</v>
      </c>
      <c r="I395">
        <v>452</v>
      </c>
    </row>
    <row r="396" spans="1:12" x14ac:dyDescent="0.35">
      <c r="A396" t="s">
        <v>363</v>
      </c>
      <c r="B396" t="s">
        <v>414</v>
      </c>
      <c r="C396" s="1" t="s">
        <v>367</v>
      </c>
      <c r="D396">
        <v>2022</v>
      </c>
      <c r="E396" t="s">
        <v>21</v>
      </c>
      <c r="F396">
        <v>4690</v>
      </c>
      <c r="G396">
        <v>1860</v>
      </c>
      <c r="H396">
        <v>1650</v>
      </c>
      <c r="I396">
        <v>452</v>
      </c>
    </row>
    <row r="397" spans="1:12" x14ac:dyDescent="0.35">
      <c r="A397" t="s">
        <v>32</v>
      </c>
      <c r="B397" t="s">
        <v>415</v>
      </c>
      <c r="C397" s="1" t="s">
        <v>367</v>
      </c>
      <c r="D397">
        <v>2025</v>
      </c>
      <c r="E397" t="s">
        <v>94</v>
      </c>
      <c r="F397">
        <v>4717</v>
      </c>
      <c r="G397">
        <v>1900</v>
      </c>
      <c r="H397">
        <v>1647</v>
      </c>
      <c r="I397">
        <v>520</v>
      </c>
    </row>
    <row r="398" spans="1:12" x14ac:dyDescent="0.35">
      <c r="A398" t="s">
        <v>305</v>
      </c>
      <c r="B398" t="s">
        <v>417</v>
      </c>
      <c r="C398" s="1" t="s">
        <v>416</v>
      </c>
      <c r="D398">
        <v>2024</v>
      </c>
      <c r="E398" t="s">
        <v>19</v>
      </c>
      <c r="F398">
        <v>4700</v>
      </c>
      <c r="G398">
        <v>1890</v>
      </c>
      <c r="H398">
        <v>1720</v>
      </c>
      <c r="I398">
        <v>703</v>
      </c>
    </row>
    <row r="399" spans="1:12" x14ac:dyDescent="0.35">
      <c r="A399" t="s">
        <v>68</v>
      </c>
      <c r="B399" t="s">
        <v>418</v>
      </c>
      <c r="C399" s="1" t="s">
        <v>416</v>
      </c>
      <c r="D399">
        <v>2023</v>
      </c>
      <c r="E399" t="s">
        <v>110</v>
      </c>
      <c r="F399">
        <v>4706</v>
      </c>
      <c r="G399">
        <v>1866</v>
      </c>
      <c r="H399">
        <v>1674</v>
      </c>
      <c r="I399">
        <v>596</v>
      </c>
      <c r="L399">
        <v>48145</v>
      </c>
    </row>
    <row r="400" spans="1:12" x14ac:dyDescent="0.35">
      <c r="A400" t="s">
        <v>68</v>
      </c>
      <c r="B400" t="s">
        <v>418</v>
      </c>
      <c r="C400" s="1" t="s">
        <v>416</v>
      </c>
      <c r="D400">
        <v>2023</v>
      </c>
      <c r="E400" t="s">
        <v>98</v>
      </c>
      <c r="F400">
        <v>4706</v>
      </c>
      <c r="G400">
        <v>1866</v>
      </c>
      <c r="H400">
        <v>1674</v>
      </c>
      <c r="I400">
        <v>635</v>
      </c>
    </row>
    <row r="401" spans="1:12" x14ac:dyDescent="0.35">
      <c r="A401" t="s">
        <v>96</v>
      </c>
      <c r="B401" t="s">
        <v>419</v>
      </c>
      <c r="C401" s="1" t="s">
        <v>416</v>
      </c>
      <c r="D401">
        <v>2021</v>
      </c>
      <c r="E401" t="s">
        <v>420</v>
      </c>
      <c r="F401">
        <v>4708</v>
      </c>
      <c r="G401">
        <v>1902</v>
      </c>
      <c r="H401">
        <v>1653</v>
      </c>
      <c r="I401">
        <v>483</v>
      </c>
    </row>
    <row r="402" spans="1:12" x14ac:dyDescent="0.35">
      <c r="A402" t="s">
        <v>96</v>
      </c>
      <c r="B402" t="s">
        <v>419</v>
      </c>
      <c r="C402" s="1" t="s">
        <v>416</v>
      </c>
      <c r="D402">
        <v>2021</v>
      </c>
      <c r="E402" t="s">
        <v>98</v>
      </c>
      <c r="F402">
        <v>4708</v>
      </c>
      <c r="G402">
        <v>1902</v>
      </c>
      <c r="H402">
        <v>1653</v>
      </c>
      <c r="I402">
        <v>468</v>
      </c>
    </row>
    <row r="403" spans="1:12" x14ac:dyDescent="0.35">
      <c r="A403" t="s">
        <v>106</v>
      </c>
      <c r="B403" t="s">
        <v>421</v>
      </c>
      <c r="C403" s="1" t="s">
        <v>416</v>
      </c>
      <c r="D403">
        <v>2024</v>
      </c>
      <c r="E403" t="s">
        <v>110</v>
      </c>
      <c r="F403">
        <v>4710</v>
      </c>
      <c r="G403">
        <v>1866</v>
      </c>
      <c r="H403">
        <v>1613</v>
      </c>
      <c r="I403">
        <v>530</v>
      </c>
      <c r="L403">
        <v>41807</v>
      </c>
    </row>
    <row r="404" spans="1:12" x14ac:dyDescent="0.35">
      <c r="A404" t="s">
        <v>106</v>
      </c>
      <c r="B404" t="s">
        <v>421</v>
      </c>
      <c r="C404" s="1" t="s">
        <v>416</v>
      </c>
      <c r="D404">
        <v>2024</v>
      </c>
      <c r="E404" t="s">
        <v>98</v>
      </c>
      <c r="F404">
        <v>4710</v>
      </c>
      <c r="G404">
        <v>1866</v>
      </c>
      <c r="H404">
        <v>1613</v>
      </c>
      <c r="I404">
        <v>465</v>
      </c>
    </row>
    <row r="405" spans="1:12" x14ac:dyDescent="0.35">
      <c r="A405" t="s">
        <v>49</v>
      </c>
      <c r="B405" t="s">
        <v>422</v>
      </c>
      <c r="C405" s="1" t="s">
        <v>416</v>
      </c>
      <c r="D405">
        <v>2020</v>
      </c>
      <c r="E405" t="s">
        <v>21</v>
      </c>
      <c r="F405">
        <v>4712</v>
      </c>
      <c r="G405">
        <v>1881</v>
      </c>
      <c r="H405">
        <v>1597</v>
      </c>
      <c r="I405">
        <v>502</v>
      </c>
    </row>
    <row r="406" spans="1:12" x14ac:dyDescent="0.35">
      <c r="A406" t="s">
        <v>81</v>
      </c>
      <c r="B406" t="s">
        <v>423</v>
      </c>
      <c r="C406" s="1" t="s">
        <v>416</v>
      </c>
      <c r="D406">
        <v>2023</v>
      </c>
      <c r="E406" t="s">
        <v>94</v>
      </c>
      <c r="F406">
        <v>4716</v>
      </c>
      <c r="G406">
        <v>1890</v>
      </c>
      <c r="H406">
        <v>1640</v>
      </c>
      <c r="I406">
        <v>620</v>
      </c>
    </row>
    <row r="407" spans="1:12" x14ac:dyDescent="0.35">
      <c r="A407" t="s">
        <v>81</v>
      </c>
      <c r="B407" t="s">
        <v>423</v>
      </c>
      <c r="C407" s="1" t="s">
        <v>416</v>
      </c>
      <c r="D407">
        <v>2023</v>
      </c>
      <c r="E407" t="s">
        <v>256</v>
      </c>
      <c r="F407">
        <v>4716</v>
      </c>
      <c r="G407">
        <v>1890</v>
      </c>
      <c r="H407">
        <v>1640</v>
      </c>
      <c r="I407">
        <v>460</v>
      </c>
    </row>
    <row r="408" spans="1:12" x14ac:dyDescent="0.35">
      <c r="A408" t="s">
        <v>106</v>
      </c>
      <c r="B408" t="s">
        <v>424</v>
      </c>
      <c r="C408" s="1" t="s">
        <v>416</v>
      </c>
      <c r="D408">
        <v>2023</v>
      </c>
      <c r="E408" t="s">
        <v>110</v>
      </c>
      <c r="F408">
        <v>4722</v>
      </c>
      <c r="G408">
        <v>1843</v>
      </c>
      <c r="H408">
        <v>1645</v>
      </c>
      <c r="I408">
        <v>477</v>
      </c>
      <c r="L408">
        <v>39482</v>
      </c>
    </row>
    <row r="409" spans="1:12" x14ac:dyDescent="0.35">
      <c r="A409" t="s">
        <v>81</v>
      </c>
      <c r="B409" t="s">
        <v>425</v>
      </c>
      <c r="C409" s="1" t="s">
        <v>416</v>
      </c>
      <c r="D409">
        <v>2023</v>
      </c>
      <c r="E409" t="s">
        <v>94</v>
      </c>
      <c r="F409">
        <v>4731</v>
      </c>
      <c r="G409">
        <v>1890</v>
      </c>
      <c r="H409">
        <v>1600</v>
      </c>
      <c r="I409">
        <v>500</v>
      </c>
    </row>
    <row r="410" spans="1:12" x14ac:dyDescent="0.35">
      <c r="A410" t="s">
        <v>81</v>
      </c>
      <c r="B410" t="s">
        <v>425</v>
      </c>
      <c r="C410" s="1" t="s">
        <v>416</v>
      </c>
      <c r="D410">
        <v>2023</v>
      </c>
      <c r="E410" t="s">
        <v>256</v>
      </c>
      <c r="F410">
        <v>4731</v>
      </c>
      <c r="G410">
        <v>1890</v>
      </c>
      <c r="H410">
        <v>1600</v>
      </c>
      <c r="I410">
        <v>350</v>
      </c>
    </row>
    <row r="411" spans="1:12" x14ac:dyDescent="0.35">
      <c r="A411" t="s">
        <v>37</v>
      </c>
      <c r="B411" t="s">
        <v>426</v>
      </c>
      <c r="C411" s="1" t="s">
        <v>416</v>
      </c>
      <c r="D411">
        <v>2022</v>
      </c>
      <c r="E411" t="s">
        <v>21</v>
      </c>
      <c r="F411">
        <v>4734</v>
      </c>
      <c r="G411">
        <v>1891</v>
      </c>
      <c r="H411">
        <v>1668</v>
      </c>
      <c r="I411">
        <v>510</v>
      </c>
    </row>
    <row r="412" spans="1:12" x14ac:dyDescent="0.35">
      <c r="A412" t="s">
        <v>41</v>
      </c>
      <c r="B412" t="s">
        <v>427</v>
      </c>
      <c r="C412" s="1" t="s">
        <v>416</v>
      </c>
      <c r="D412">
        <v>2019</v>
      </c>
      <c r="E412" t="s">
        <v>428</v>
      </c>
      <c r="F412">
        <v>4735</v>
      </c>
      <c r="G412">
        <v>1839</v>
      </c>
      <c r="H412">
        <v>1658</v>
      </c>
      <c r="I412">
        <v>700</v>
      </c>
    </row>
    <row r="413" spans="1:12" x14ac:dyDescent="0.35">
      <c r="A413" t="s">
        <v>60</v>
      </c>
      <c r="B413" t="s">
        <v>429</v>
      </c>
      <c r="C413" s="1" t="s">
        <v>416</v>
      </c>
      <c r="D413">
        <v>2025</v>
      </c>
      <c r="E413" t="s">
        <v>155</v>
      </c>
      <c r="F413">
        <v>4745</v>
      </c>
      <c r="G413">
        <v>1890</v>
      </c>
      <c r="H413">
        <v>1680</v>
      </c>
      <c r="I413">
        <v>570</v>
      </c>
    </row>
    <row r="414" spans="1:12" x14ac:dyDescent="0.35">
      <c r="A414" t="s">
        <v>78</v>
      </c>
      <c r="B414" t="s">
        <v>430</v>
      </c>
      <c r="C414" s="1" t="s">
        <v>416</v>
      </c>
      <c r="D414">
        <v>2021</v>
      </c>
      <c r="E414" t="s">
        <v>19</v>
      </c>
      <c r="F414">
        <v>4747</v>
      </c>
      <c r="G414">
        <v>1936</v>
      </c>
      <c r="H414">
        <v>1664</v>
      </c>
      <c r="I414">
        <v>513</v>
      </c>
    </row>
    <row r="415" spans="1:12" x14ac:dyDescent="0.35">
      <c r="A415" t="s">
        <v>78</v>
      </c>
      <c r="B415" t="s">
        <v>430</v>
      </c>
      <c r="C415" s="1" t="s">
        <v>416</v>
      </c>
      <c r="D415">
        <v>2021</v>
      </c>
      <c r="E415" t="s">
        <v>431</v>
      </c>
      <c r="F415">
        <v>4747</v>
      </c>
      <c r="G415">
        <v>1936</v>
      </c>
      <c r="H415">
        <v>1664</v>
      </c>
      <c r="I415">
        <v>501</v>
      </c>
    </row>
    <row r="416" spans="1:12" x14ac:dyDescent="0.35">
      <c r="A416" t="s">
        <v>78</v>
      </c>
      <c r="B416" t="s">
        <v>430</v>
      </c>
      <c r="C416" s="1" t="s">
        <v>416</v>
      </c>
      <c r="D416">
        <v>2021</v>
      </c>
      <c r="E416" t="s">
        <v>98</v>
      </c>
      <c r="F416">
        <v>4747</v>
      </c>
      <c r="G416">
        <v>1936</v>
      </c>
      <c r="H416">
        <v>1664</v>
      </c>
      <c r="I416">
        <v>385</v>
      </c>
    </row>
    <row r="417" spans="1:9" x14ac:dyDescent="0.35">
      <c r="A417" t="s">
        <v>37</v>
      </c>
      <c r="B417" t="s">
        <v>432</v>
      </c>
      <c r="C417" s="1" t="s">
        <v>416</v>
      </c>
      <c r="D417">
        <v>2022</v>
      </c>
      <c r="E417" t="s">
        <v>94</v>
      </c>
      <c r="F417">
        <v>4751</v>
      </c>
      <c r="G417">
        <v>1918</v>
      </c>
      <c r="H417">
        <v>1621</v>
      </c>
      <c r="I417">
        <v>525</v>
      </c>
    </row>
    <row r="418" spans="1:9" x14ac:dyDescent="0.35">
      <c r="A418" t="s">
        <v>37</v>
      </c>
      <c r="B418" t="s">
        <v>433</v>
      </c>
      <c r="C418" s="1" t="s">
        <v>416</v>
      </c>
      <c r="D418">
        <v>2025</v>
      </c>
      <c r="E418" t="s">
        <v>94</v>
      </c>
      <c r="F418">
        <v>4755</v>
      </c>
      <c r="G418">
        <v>1920</v>
      </c>
      <c r="H418">
        <v>1660</v>
      </c>
      <c r="I418">
        <v>570</v>
      </c>
    </row>
    <row r="419" spans="1:9" x14ac:dyDescent="0.35">
      <c r="A419" t="s">
        <v>37</v>
      </c>
      <c r="B419" t="s">
        <v>433</v>
      </c>
      <c r="C419" s="1" t="s">
        <v>416</v>
      </c>
      <c r="D419">
        <v>2025</v>
      </c>
      <c r="E419" t="s">
        <v>98</v>
      </c>
      <c r="F419">
        <v>4755</v>
      </c>
      <c r="G419">
        <v>1920</v>
      </c>
      <c r="H419">
        <v>1660</v>
      </c>
      <c r="I419">
        <v>460</v>
      </c>
    </row>
    <row r="420" spans="1:9" x14ac:dyDescent="0.35">
      <c r="A420" t="s">
        <v>328</v>
      </c>
      <c r="B420" t="s">
        <v>434</v>
      </c>
      <c r="C420" s="1" t="s">
        <v>416</v>
      </c>
      <c r="D420">
        <v>2020</v>
      </c>
      <c r="E420" t="s">
        <v>90</v>
      </c>
      <c r="F420">
        <v>4758</v>
      </c>
      <c r="G420">
        <v>1996</v>
      </c>
      <c r="H420">
        <v>1967</v>
      </c>
      <c r="I420">
        <v>646</v>
      </c>
    </row>
    <row r="421" spans="1:9" x14ac:dyDescent="0.35">
      <c r="A421" t="s">
        <v>328</v>
      </c>
      <c r="B421" t="s">
        <v>434</v>
      </c>
      <c r="C421" s="1" t="s">
        <v>416</v>
      </c>
      <c r="D421">
        <v>2020</v>
      </c>
      <c r="E421" t="s">
        <v>98</v>
      </c>
      <c r="F421">
        <v>4758</v>
      </c>
      <c r="G421">
        <v>1996</v>
      </c>
      <c r="H421">
        <v>1967</v>
      </c>
      <c r="I421">
        <v>550</v>
      </c>
    </row>
    <row r="422" spans="1:9" x14ac:dyDescent="0.35">
      <c r="A422" t="s">
        <v>7</v>
      </c>
      <c r="B422" t="s">
        <v>436</v>
      </c>
      <c r="C422" s="1" t="s">
        <v>416</v>
      </c>
      <c r="D422">
        <v>2024</v>
      </c>
      <c r="E422" t="s">
        <v>239</v>
      </c>
      <c r="F422">
        <v>4785</v>
      </c>
      <c r="G422">
        <v>1864</v>
      </c>
      <c r="H422">
        <v>1659</v>
      </c>
      <c r="I422">
        <v>640</v>
      </c>
    </row>
    <row r="423" spans="1:9" x14ac:dyDescent="0.35">
      <c r="A423" t="s">
        <v>7</v>
      </c>
      <c r="B423" t="s">
        <v>436</v>
      </c>
      <c r="C423" s="1" t="s">
        <v>416</v>
      </c>
      <c r="D423">
        <v>2024</v>
      </c>
      <c r="E423" t="s">
        <v>98</v>
      </c>
      <c r="F423">
        <v>4785</v>
      </c>
      <c r="G423">
        <v>1864</v>
      </c>
      <c r="H423">
        <v>1659</v>
      </c>
      <c r="I423">
        <v>725</v>
      </c>
    </row>
    <row r="424" spans="1:9" x14ac:dyDescent="0.35">
      <c r="A424" t="s">
        <v>81</v>
      </c>
      <c r="B424" t="s">
        <v>437</v>
      </c>
      <c r="C424" s="1" t="s">
        <v>416</v>
      </c>
      <c r="D424">
        <v>2019</v>
      </c>
      <c r="E424" t="s">
        <v>21</v>
      </c>
      <c r="F424">
        <v>4762</v>
      </c>
      <c r="G424">
        <v>1884</v>
      </c>
      <c r="H424">
        <v>1624</v>
      </c>
      <c r="I424">
        <v>500</v>
      </c>
    </row>
    <row r="425" spans="1:9" x14ac:dyDescent="0.35">
      <c r="A425" t="s">
        <v>119</v>
      </c>
      <c r="B425" t="s">
        <v>438</v>
      </c>
      <c r="C425" s="1" t="s">
        <v>416</v>
      </c>
      <c r="D425">
        <v>2025</v>
      </c>
      <c r="E425" t="s">
        <v>239</v>
      </c>
      <c r="F425">
        <v>4770</v>
      </c>
      <c r="G425">
        <v>1849</v>
      </c>
      <c r="H425">
        <v>1660</v>
      </c>
      <c r="I425">
        <v>885</v>
      </c>
    </row>
    <row r="426" spans="1:9" x14ac:dyDescent="0.35">
      <c r="A426" t="s">
        <v>119</v>
      </c>
      <c r="B426" t="s">
        <v>438</v>
      </c>
      <c r="C426" s="1" t="s">
        <v>416</v>
      </c>
      <c r="D426">
        <v>2025</v>
      </c>
      <c r="E426" t="s">
        <v>98</v>
      </c>
      <c r="F426">
        <v>4770</v>
      </c>
      <c r="G426">
        <v>1849</v>
      </c>
      <c r="H426">
        <v>1660</v>
      </c>
      <c r="I426">
        <v>705</v>
      </c>
    </row>
    <row r="427" spans="1:9" x14ac:dyDescent="0.35">
      <c r="A427" t="s">
        <v>32</v>
      </c>
      <c r="B427" t="s">
        <v>439</v>
      </c>
      <c r="C427" s="1" t="s">
        <v>416</v>
      </c>
      <c r="D427">
        <v>2024</v>
      </c>
      <c r="E427" t="s">
        <v>21</v>
      </c>
      <c r="F427">
        <v>4771</v>
      </c>
      <c r="G427">
        <v>1939</v>
      </c>
      <c r="H427">
        <v>1648</v>
      </c>
      <c r="I427">
        <v>590</v>
      </c>
    </row>
    <row r="428" spans="1:9" x14ac:dyDescent="0.35">
      <c r="A428" t="s">
        <v>124</v>
      </c>
      <c r="B428" t="s">
        <v>440</v>
      </c>
      <c r="C428" s="1" t="s">
        <v>416</v>
      </c>
      <c r="D428">
        <v>2022</v>
      </c>
      <c r="E428" t="s">
        <v>21</v>
      </c>
      <c r="F428">
        <v>4784</v>
      </c>
      <c r="G428">
        <v>1923</v>
      </c>
      <c r="H428">
        <v>1622</v>
      </c>
      <c r="I428">
        <v>624</v>
      </c>
    </row>
    <row r="429" spans="1:9" x14ac:dyDescent="0.35">
      <c r="A429" t="s">
        <v>102</v>
      </c>
      <c r="B429" t="s">
        <v>441</v>
      </c>
      <c r="C429" s="1" t="s">
        <v>416</v>
      </c>
      <c r="D429">
        <v>2024</v>
      </c>
      <c r="E429" t="s">
        <v>21</v>
      </c>
      <c r="F429">
        <v>4785</v>
      </c>
      <c r="G429">
        <v>1890</v>
      </c>
      <c r="H429">
        <v>1668</v>
      </c>
      <c r="I429">
        <v>425</v>
      </c>
    </row>
    <row r="430" spans="1:9" x14ac:dyDescent="0.35">
      <c r="A430" t="s">
        <v>91</v>
      </c>
      <c r="B430" t="s">
        <v>442</v>
      </c>
      <c r="C430" s="1" t="s">
        <v>416</v>
      </c>
      <c r="D430">
        <v>2025</v>
      </c>
      <c r="E430" t="s">
        <v>21</v>
      </c>
      <c r="F430">
        <v>4790</v>
      </c>
      <c r="G430">
        <v>1920</v>
      </c>
      <c r="H430">
        <v>1624</v>
      </c>
      <c r="I430">
        <v>971</v>
      </c>
    </row>
    <row r="431" spans="1:9" x14ac:dyDescent="0.35">
      <c r="A431" t="s">
        <v>40</v>
      </c>
      <c r="B431" s="2" t="s">
        <v>443</v>
      </c>
      <c r="C431" s="1" t="s">
        <v>416</v>
      </c>
      <c r="D431">
        <v>2025</v>
      </c>
      <c r="E431" t="s">
        <v>348</v>
      </c>
      <c r="F431">
        <v>4791</v>
      </c>
      <c r="G431">
        <v>1895</v>
      </c>
      <c r="H431">
        <v>1694</v>
      </c>
      <c r="I431">
        <v>748</v>
      </c>
    </row>
    <row r="432" spans="1:9" x14ac:dyDescent="0.35">
      <c r="A432" t="s">
        <v>328</v>
      </c>
      <c r="B432" t="s">
        <v>444</v>
      </c>
      <c r="C432" s="1" t="s">
        <v>416</v>
      </c>
      <c r="D432">
        <v>2023</v>
      </c>
      <c r="E432" t="s">
        <v>445</v>
      </c>
      <c r="F432">
        <v>4797</v>
      </c>
      <c r="G432">
        <v>1950</v>
      </c>
      <c r="H432">
        <v>1683</v>
      </c>
      <c r="I432">
        <v>552</v>
      </c>
    </row>
    <row r="433" spans="1:12" x14ac:dyDescent="0.35">
      <c r="A433" t="s">
        <v>328</v>
      </c>
      <c r="B433" t="s">
        <v>444</v>
      </c>
      <c r="C433" s="1" t="s">
        <v>416</v>
      </c>
      <c r="D433">
        <v>2023</v>
      </c>
      <c r="E433" t="s">
        <v>98</v>
      </c>
      <c r="F433">
        <v>4797</v>
      </c>
      <c r="G433">
        <v>1950</v>
      </c>
      <c r="H433">
        <v>1683</v>
      </c>
      <c r="I433">
        <v>503</v>
      </c>
    </row>
    <row r="434" spans="1:12" x14ac:dyDescent="0.35">
      <c r="A434" t="s">
        <v>129</v>
      </c>
      <c r="B434" t="s">
        <v>446</v>
      </c>
      <c r="C434" s="1" t="s">
        <v>416</v>
      </c>
      <c r="D434">
        <v>2023</v>
      </c>
      <c r="E434" t="s">
        <v>21</v>
      </c>
      <c r="F434">
        <v>4805</v>
      </c>
      <c r="G434">
        <v>1895</v>
      </c>
      <c r="H434">
        <v>1635</v>
      </c>
      <c r="I434">
        <v>522</v>
      </c>
    </row>
    <row r="435" spans="1:12" x14ac:dyDescent="0.35">
      <c r="A435" t="s">
        <v>49</v>
      </c>
      <c r="B435" t="s">
        <v>447</v>
      </c>
      <c r="C435" s="1" t="s">
        <v>416</v>
      </c>
      <c r="D435">
        <v>2023</v>
      </c>
      <c r="E435" t="s">
        <v>19</v>
      </c>
      <c r="F435">
        <v>4811</v>
      </c>
      <c r="G435">
        <v>1937</v>
      </c>
      <c r="H435">
        <v>1962</v>
      </c>
      <c r="I435">
        <v>471</v>
      </c>
    </row>
    <row r="436" spans="1:12" x14ac:dyDescent="0.35">
      <c r="A436" t="s">
        <v>24</v>
      </c>
      <c r="B436" t="s">
        <v>448</v>
      </c>
      <c r="C436" s="1" t="s">
        <v>416</v>
      </c>
      <c r="D436">
        <v>2024</v>
      </c>
      <c r="E436" t="s">
        <v>145</v>
      </c>
      <c r="F436">
        <v>4815</v>
      </c>
      <c r="G436">
        <v>1900</v>
      </c>
      <c r="H436">
        <v>1700</v>
      </c>
      <c r="I436">
        <v>821</v>
      </c>
    </row>
    <row r="437" spans="1:12" x14ac:dyDescent="0.35">
      <c r="A437" t="s">
        <v>24</v>
      </c>
      <c r="B437" t="s">
        <v>448</v>
      </c>
      <c r="C437" s="1" t="s">
        <v>416</v>
      </c>
      <c r="D437">
        <v>2024</v>
      </c>
      <c r="E437" t="s">
        <v>99</v>
      </c>
      <c r="F437">
        <v>4815</v>
      </c>
      <c r="G437">
        <v>1900</v>
      </c>
      <c r="H437">
        <v>1700</v>
      </c>
      <c r="I437">
        <v>813</v>
      </c>
    </row>
    <row r="438" spans="1:12" x14ac:dyDescent="0.35">
      <c r="A438" t="s">
        <v>24</v>
      </c>
      <c r="B438" t="s">
        <v>448</v>
      </c>
      <c r="C438" s="1" t="s">
        <v>416</v>
      </c>
      <c r="D438">
        <v>2024</v>
      </c>
      <c r="E438" t="s">
        <v>98</v>
      </c>
      <c r="F438">
        <v>4815</v>
      </c>
      <c r="G438">
        <v>1900</v>
      </c>
      <c r="H438">
        <v>1700</v>
      </c>
      <c r="I438">
        <v>809</v>
      </c>
    </row>
    <row r="439" spans="1:12" x14ac:dyDescent="0.35">
      <c r="A439" t="s">
        <v>81</v>
      </c>
      <c r="B439" t="s">
        <v>449</v>
      </c>
      <c r="C439" s="1" t="s">
        <v>416</v>
      </c>
      <c r="D439">
        <v>2024</v>
      </c>
      <c r="E439" t="s">
        <v>94</v>
      </c>
      <c r="F439">
        <v>4825</v>
      </c>
      <c r="G439">
        <v>1931</v>
      </c>
      <c r="H439">
        <v>1969</v>
      </c>
      <c r="I439">
        <v>454</v>
      </c>
    </row>
    <row r="440" spans="1:12" x14ac:dyDescent="0.35">
      <c r="A440" t="s">
        <v>29</v>
      </c>
      <c r="B440" t="s">
        <v>450</v>
      </c>
      <c r="C440" s="1" t="s">
        <v>416</v>
      </c>
      <c r="D440">
        <v>2024</v>
      </c>
      <c r="E440" t="s">
        <v>308</v>
      </c>
      <c r="F440">
        <v>4830</v>
      </c>
      <c r="G440">
        <v>1900</v>
      </c>
      <c r="H440">
        <v>1770</v>
      </c>
      <c r="I440">
        <v>711</v>
      </c>
      <c r="L440">
        <v>59020</v>
      </c>
    </row>
    <row r="441" spans="1:12" x14ac:dyDescent="0.35">
      <c r="A441" t="s">
        <v>137</v>
      </c>
      <c r="B441" t="s">
        <v>451</v>
      </c>
      <c r="C441" s="1" t="s">
        <v>416</v>
      </c>
      <c r="D441">
        <v>2022</v>
      </c>
      <c r="E441" t="s">
        <v>139</v>
      </c>
      <c r="F441">
        <v>4847</v>
      </c>
      <c r="G441">
        <v>1979</v>
      </c>
      <c r="H441">
        <v>1667</v>
      </c>
      <c r="I441">
        <v>535</v>
      </c>
    </row>
    <row r="442" spans="1:12" x14ac:dyDescent="0.35">
      <c r="A442" t="s">
        <v>352</v>
      </c>
      <c r="B442" t="s">
        <v>452</v>
      </c>
      <c r="C442" s="1" t="s">
        <v>416</v>
      </c>
      <c r="D442">
        <v>2022</v>
      </c>
      <c r="E442" t="s">
        <v>145</v>
      </c>
      <c r="F442">
        <v>4850</v>
      </c>
      <c r="G442">
        <v>1960</v>
      </c>
      <c r="H442">
        <v>1825</v>
      </c>
      <c r="I442">
        <v>641</v>
      </c>
    </row>
    <row r="443" spans="1:12" x14ac:dyDescent="0.35">
      <c r="A443" t="s">
        <v>81</v>
      </c>
      <c r="B443" t="s">
        <v>117</v>
      </c>
      <c r="C443" s="1" t="s">
        <v>416</v>
      </c>
      <c r="D443">
        <v>2023</v>
      </c>
      <c r="E443" t="s">
        <v>21</v>
      </c>
      <c r="F443">
        <v>4863</v>
      </c>
      <c r="G443">
        <v>1940</v>
      </c>
      <c r="H443">
        <v>1686</v>
      </c>
      <c r="I443">
        <v>520</v>
      </c>
    </row>
    <row r="444" spans="1:12" x14ac:dyDescent="0.35">
      <c r="A444" t="s">
        <v>363</v>
      </c>
      <c r="B444" t="s">
        <v>453</v>
      </c>
      <c r="C444" s="1" t="s">
        <v>416</v>
      </c>
      <c r="D444">
        <v>2021</v>
      </c>
      <c r="E444" t="s">
        <v>19</v>
      </c>
      <c r="F444">
        <v>4870</v>
      </c>
      <c r="G444">
        <v>1875</v>
      </c>
      <c r="H444">
        <v>1675</v>
      </c>
      <c r="I444">
        <v>561</v>
      </c>
    </row>
    <row r="445" spans="1:12" x14ac:dyDescent="0.35">
      <c r="A445" t="s">
        <v>284</v>
      </c>
      <c r="B445" t="s">
        <v>454</v>
      </c>
      <c r="C445" s="1" t="s">
        <v>416</v>
      </c>
      <c r="D445">
        <v>2019</v>
      </c>
      <c r="E445" t="s">
        <v>55</v>
      </c>
      <c r="F445">
        <v>4882</v>
      </c>
      <c r="G445">
        <v>1894</v>
      </c>
      <c r="H445">
        <v>1848</v>
      </c>
      <c r="I445">
        <v>548</v>
      </c>
    </row>
    <row r="446" spans="1:12" x14ac:dyDescent="0.35">
      <c r="A446" t="s">
        <v>284</v>
      </c>
      <c r="B446" t="s">
        <v>454</v>
      </c>
      <c r="C446" s="1" t="s">
        <v>416</v>
      </c>
      <c r="D446">
        <v>2019</v>
      </c>
      <c r="E446" t="s">
        <v>98</v>
      </c>
      <c r="F446">
        <v>4882</v>
      </c>
      <c r="G446">
        <v>1894</v>
      </c>
      <c r="H446">
        <v>1848</v>
      </c>
      <c r="I446">
        <v>533</v>
      </c>
    </row>
    <row r="447" spans="1:12" x14ac:dyDescent="0.35">
      <c r="A447" t="s">
        <v>129</v>
      </c>
      <c r="B447" t="s">
        <v>455</v>
      </c>
      <c r="C447" s="1" t="s">
        <v>416</v>
      </c>
      <c r="D447">
        <v>2023</v>
      </c>
      <c r="E447" t="s">
        <v>308</v>
      </c>
      <c r="F447">
        <v>4890</v>
      </c>
      <c r="G447">
        <v>1920</v>
      </c>
      <c r="H447">
        <v>1695</v>
      </c>
      <c r="I447">
        <v>461</v>
      </c>
      <c r="L447">
        <v>112650</v>
      </c>
    </row>
    <row r="448" spans="1:12" x14ac:dyDescent="0.35">
      <c r="A448" t="s">
        <v>73</v>
      </c>
      <c r="B448" s="2" t="s">
        <v>456</v>
      </c>
      <c r="C448" s="1" t="s">
        <v>416</v>
      </c>
      <c r="D448">
        <v>2023</v>
      </c>
      <c r="E448" t="s">
        <v>21</v>
      </c>
      <c r="F448">
        <v>4900</v>
      </c>
      <c r="G448">
        <v>1968</v>
      </c>
      <c r="H448">
        <v>1614</v>
      </c>
      <c r="I448">
        <v>516</v>
      </c>
    </row>
    <row r="449" spans="1:12" x14ac:dyDescent="0.35">
      <c r="A449" t="s">
        <v>119</v>
      </c>
      <c r="B449" t="s">
        <v>457</v>
      </c>
      <c r="C449" s="1" t="s">
        <v>416</v>
      </c>
      <c r="D449">
        <v>2024</v>
      </c>
      <c r="E449" t="s">
        <v>145</v>
      </c>
      <c r="F449">
        <v>4902</v>
      </c>
      <c r="G449">
        <v>1984</v>
      </c>
      <c r="H449">
        <v>1712</v>
      </c>
      <c r="I449">
        <v>810</v>
      </c>
    </row>
    <row r="450" spans="1:12" x14ac:dyDescent="0.35">
      <c r="A450" t="s">
        <v>119</v>
      </c>
      <c r="B450" t="s">
        <v>457</v>
      </c>
      <c r="C450" s="1" t="s">
        <v>416</v>
      </c>
      <c r="D450">
        <v>2024</v>
      </c>
      <c r="E450" t="s">
        <v>98</v>
      </c>
      <c r="F450">
        <v>4902</v>
      </c>
      <c r="G450">
        <v>1984</v>
      </c>
      <c r="H450">
        <v>1712</v>
      </c>
      <c r="I450">
        <v>655</v>
      </c>
    </row>
    <row r="451" spans="1:12" x14ac:dyDescent="0.35">
      <c r="A451" t="s">
        <v>284</v>
      </c>
      <c r="B451" t="s">
        <v>458</v>
      </c>
      <c r="C451" s="1" t="s">
        <v>416</v>
      </c>
      <c r="D451">
        <v>2024</v>
      </c>
      <c r="E451" t="s">
        <v>98</v>
      </c>
      <c r="F451">
        <v>4914</v>
      </c>
      <c r="G451">
        <v>1968</v>
      </c>
      <c r="H451">
        <v>1799</v>
      </c>
      <c r="I451">
        <v>580</v>
      </c>
    </row>
    <row r="452" spans="1:12" x14ac:dyDescent="0.35">
      <c r="A452" t="s">
        <v>32</v>
      </c>
      <c r="B452" t="s">
        <v>459</v>
      </c>
      <c r="C452" s="1" t="s">
        <v>416</v>
      </c>
      <c r="D452">
        <v>2023</v>
      </c>
      <c r="E452" t="s">
        <v>21</v>
      </c>
      <c r="F452">
        <v>4915</v>
      </c>
      <c r="G452">
        <v>1935</v>
      </c>
      <c r="H452">
        <v>1633</v>
      </c>
      <c r="I452">
        <v>631</v>
      </c>
    </row>
    <row r="453" spans="1:12" x14ac:dyDescent="0.35">
      <c r="A453" t="s">
        <v>45</v>
      </c>
      <c r="B453" t="s">
        <v>460</v>
      </c>
      <c r="C453" s="1" t="s">
        <v>416</v>
      </c>
      <c r="D453">
        <v>2024</v>
      </c>
      <c r="E453" t="s">
        <v>145</v>
      </c>
      <c r="F453">
        <v>4920</v>
      </c>
      <c r="G453">
        <v>1925</v>
      </c>
      <c r="H453">
        <v>1870</v>
      </c>
      <c r="I453">
        <v>621</v>
      </c>
    </row>
    <row r="454" spans="1:12" x14ac:dyDescent="0.35">
      <c r="A454" t="s">
        <v>81</v>
      </c>
      <c r="B454" t="s">
        <v>461</v>
      </c>
      <c r="C454" s="1" t="s">
        <v>416</v>
      </c>
      <c r="D454">
        <v>2023</v>
      </c>
      <c r="E454" t="s">
        <v>94</v>
      </c>
      <c r="F454">
        <v>4924</v>
      </c>
      <c r="G454">
        <v>1947</v>
      </c>
      <c r="H454">
        <v>1797</v>
      </c>
      <c r="I454">
        <v>630</v>
      </c>
    </row>
    <row r="455" spans="1:12" x14ac:dyDescent="0.35">
      <c r="A455" t="s">
        <v>81</v>
      </c>
      <c r="B455" t="s">
        <v>461</v>
      </c>
      <c r="C455" s="1" t="s">
        <v>416</v>
      </c>
      <c r="D455">
        <v>2023</v>
      </c>
      <c r="E455" t="s">
        <v>256</v>
      </c>
      <c r="F455">
        <v>4924</v>
      </c>
      <c r="G455">
        <v>1947</v>
      </c>
      <c r="H455">
        <v>1797</v>
      </c>
      <c r="I455">
        <v>490</v>
      </c>
    </row>
    <row r="456" spans="1:12" x14ac:dyDescent="0.35">
      <c r="A456" t="s">
        <v>328</v>
      </c>
      <c r="B456" t="s">
        <v>462</v>
      </c>
      <c r="C456" s="1" t="s">
        <v>416</v>
      </c>
      <c r="D456">
        <v>2022</v>
      </c>
      <c r="E456" t="s">
        <v>435</v>
      </c>
      <c r="F456">
        <v>4946</v>
      </c>
      <c r="G456">
        <v>1990</v>
      </c>
      <c r="H456">
        <v>1820</v>
      </c>
      <c r="I456">
        <v>647</v>
      </c>
    </row>
    <row r="457" spans="1:12" x14ac:dyDescent="0.35">
      <c r="A457" t="s">
        <v>45</v>
      </c>
      <c r="B457" t="s">
        <v>463</v>
      </c>
      <c r="C457" s="1" t="s">
        <v>416</v>
      </c>
      <c r="D457">
        <v>2021</v>
      </c>
      <c r="E457" t="s">
        <v>110</v>
      </c>
      <c r="F457">
        <v>4950</v>
      </c>
      <c r="G457">
        <v>1930</v>
      </c>
      <c r="H457">
        <v>1730</v>
      </c>
      <c r="I457">
        <v>658</v>
      </c>
      <c r="L457">
        <v>60500</v>
      </c>
    </row>
    <row r="458" spans="1:12" x14ac:dyDescent="0.35">
      <c r="A458" t="s">
        <v>96</v>
      </c>
      <c r="B458" t="s">
        <v>464</v>
      </c>
      <c r="C458" s="1" t="s">
        <v>416</v>
      </c>
      <c r="D458">
        <v>2019</v>
      </c>
      <c r="E458" t="s">
        <v>94</v>
      </c>
      <c r="F458">
        <v>4953</v>
      </c>
      <c r="G458">
        <v>1923</v>
      </c>
      <c r="H458">
        <v>1776</v>
      </c>
      <c r="I458">
        <v>692</v>
      </c>
    </row>
    <row r="459" spans="1:12" x14ac:dyDescent="0.35">
      <c r="A459" t="s">
        <v>96</v>
      </c>
      <c r="B459" t="s">
        <v>464</v>
      </c>
      <c r="C459" s="1" t="s">
        <v>416</v>
      </c>
      <c r="D459">
        <v>2019</v>
      </c>
      <c r="E459" t="s">
        <v>98</v>
      </c>
      <c r="F459">
        <v>4953</v>
      </c>
      <c r="G459">
        <v>1923</v>
      </c>
      <c r="H459">
        <v>1776</v>
      </c>
      <c r="I459">
        <v>640</v>
      </c>
    </row>
    <row r="460" spans="1:12" x14ac:dyDescent="0.35">
      <c r="A460" t="s">
        <v>37</v>
      </c>
      <c r="B460" t="s">
        <v>465</v>
      </c>
      <c r="C460" s="1" t="s">
        <v>416</v>
      </c>
      <c r="D460">
        <v>2021</v>
      </c>
      <c r="E460" t="s">
        <v>21</v>
      </c>
      <c r="F460">
        <v>4953</v>
      </c>
      <c r="G460">
        <v>1967</v>
      </c>
      <c r="H460">
        <v>1695</v>
      </c>
      <c r="I460">
        <v>500</v>
      </c>
    </row>
    <row r="461" spans="1:12" x14ac:dyDescent="0.35">
      <c r="A461" t="s">
        <v>328</v>
      </c>
      <c r="B461" t="s">
        <v>466</v>
      </c>
      <c r="C461" s="1" t="s">
        <v>416</v>
      </c>
      <c r="D461">
        <v>2021</v>
      </c>
      <c r="E461" t="s">
        <v>94</v>
      </c>
      <c r="F461">
        <v>4956</v>
      </c>
      <c r="G461">
        <v>1990</v>
      </c>
      <c r="H461">
        <v>1888</v>
      </c>
      <c r="I461">
        <v>723</v>
      </c>
    </row>
    <row r="462" spans="1:12" x14ac:dyDescent="0.35">
      <c r="A462" t="s">
        <v>37</v>
      </c>
      <c r="B462" t="s">
        <v>467</v>
      </c>
      <c r="C462" s="1" t="s">
        <v>416</v>
      </c>
      <c r="D462">
        <v>2023</v>
      </c>
      <c r="E462" t="s">
        <v>94</v>
      </c>
      <c r="F462">
        <v>4960</v>
      </c>
      <c r="G462">
        <v>2004</v>
      </c>
      <c r="H462">
        <v>1700</v>
      </c>
      <c r="I462">
        <v>580</v>
      </c>
    </row>
    <row r="463" spans="1:12" x14ac:dyDescent="0.35">
      <c r="A463" t="s">
        <v>102</v>
      </c>
      <c r="B463" t="s">
        <v>468</v>
      </c>
      <c r="C463" s="1" t="s">
        <v>416</v>
      </c>
      <c r="D463">
        <v>2024</v>
      </c>
      <c r="E463" t="s">
        <v>21</v>
      </c>
      <c r="F463">
        <v>4970</v>
      </c>
      <c r="G463">
        <v>1955</v>
      </c>
      <c r="H463">
        <v>1745</v>
      </c>
      <c r="I463">
        <v>940</v>
      </c>
    </row>
    <row r="464" spans="1:12" x14ac:dyDescent="0.35">
      <c r="A464" t="s">
        <v>60</v>
      </c>
      <c r="B464" t="s">
        <v>469</v>
      </c>
      <c r="C464" s="1" t="s">
        <v>416</v>
      </c>
      <c r="D464">
        <v>2025</v>
      </c>
      <c r="E464" t="s">
        <v>155</v>
      </c>
      <c r="F464">
        <v>4990</v>
      </c>
      <c r="G464">
        <v>1890</v>
      </c>
      <c r="H464">
        <v>1713</v>
      </c>
      <c r="I464">
        <v>566</v>
      </c>
    </row>
    <row r="465" spans="1:9" x14ac:dyDescent="0.35">
      <c r="A465" t="s">
        <v>32</v>
      </c>
      <c r="B465" t="s">
        <v>470</v>
      </c>
      <c r="C465" s="1" t="s">
        <v>416</v>
      </c>
      <c r="D465">
        <v>2024</v>
      </c>
      <c r="E465" t="s">
        <v>94</v>
      </c>
      <c r="F465">
        <v>4992</v>
      </c>
      <c r="G465">
        <v>1995</v>
      </c>
      <c r="H465">
        <v>1697</v>
      </c>
      <c r="I465">
        <v>605</v>
      </c>
    </row>
    <row r="466" spans="1:9" x14ac:dyDescent="0.35">
      <c r="A466" t="s">
        <v>32</v>
      </c>
      <c r="B466" t="s">
        <v>470</v>
      </c>
      <c r="C466" s="1" t="s">
        <v>416</v>
      </c>
      <c r="D466">
        <v>2024</v>
      </c>
      <c r="E466" t="s">
        <v>98</v>
      </c>
      <c r="F466">
        <v>4992</v>
      </c>
      <c r="G466">
        <v>1995</v>
      </c>
      <c r="H466">
        <v>1697</v>
      </c>
      <c r="I466">
        <v>439</v>
      </c>
    </row>
    <row r="467" spans="1:9" x14ac:dyDescent="0.35">
      <c r="A467" t="s">
        <v>137</v>
      </c>
      <c r="B467" t="s">
        <v>471</v>
      </c>
      <c r="C467" s="1" t="s">
        <v>416</v>
      </c>
      <c r="D467">
        <v>2019</v>
      </c>
      <c r="E467" t="s">
        <v>239</v>
      </c>
      <c r="F467">
        <v>5005</v>
      </c>
      <c r="G467">
        <v>1981</v>
      </c>
      <c r="H467">
        <v>1693</v>
      </c>
      <c r="I467">
        <v>580</v>
      </c>
    </row>
    <row r="468" spans="1:9" x14ac:dyDescent="0.35">
      <c r="A468" t="s">
        <v>24</v>
      </c>
      <c r="B468" t="s">
        <v>472</v>
      </c>
      <c r="C468" s="1" t="s">
        <v>416</v>
      </c>
      <c r="D468">
        <v>2024</v>
      </c>
      <c r="E468" t="s">
        <v>21</v>
      </c>
      <c r="F468">
        <v>5015</v>
      </c>
      <c r="G468">
        <v>1980</v>
      </c>
      <c r="H468">
        <v>1780</v>
      </c>
      <c r="I468">
        <v>880</v>
      </c>
    </row>
    <row r="469" spans="1:9" x14ac:dyDescent="0.35">
      <c r="A469" t="s">
        <v>170</v>
      </c>
      <c r="B469" t="s">
        <v>474</v>
      </c>
      <c r="C469" s="1" t="s">
        <v>473</v>
      </c>
      <c r="D469">
        <v>2020</v>
      </c>
      <c r="E469" t="s">
        <v>145</v>
      </c>
      <c r="F469">
        <v>5225</v>
      </c>
      <c r="G469">
        <v>1815</v>
      </c>
      <c r="H469">
        <v>1780</v>
      </c>
    </row>
    <row r="470" spans="1:9" x14ac:dyDescent="0.35">
      <c r="A470" t="s">
        <v>475</v>
      </c>
      <c r="B470" t="s">
        <v>476</v>
      </c>
      <c r="C470" s="1" t="s">
        <v>473</v>
      </c>
      <c r="D470">
        <v>2021</v>
      </c>
      <c r="E470" t="s">
        <v>145</v>
      </c>
      <c r="F470">
        <v>5265</v>
      </c>
      <c r="G470">
        <v>1835</v>
      </c>
      <c r="H470">
        <v>1790</v>
      </c>
    </row>
    <row r="471" spans="1:9" x14ac:dyDescent="0.35">
      <c r="A471" t="s">
        <v>45</v>
      </c>
      <c r="B471" t="s">
        <v>477</v>
      </c>
      <c r="C471" s="1" t="s">
        <v>473</v>
      </c>
      <c r="D471">
        <v>2021</v>
      </c>
      <c r="E471" t="s">
        <v>145</v>
      </c>
      <c r="F471">
        <v>5325</v>
      </c>
      <c r="G471">
        <v>1855</v>
      </c>
      <c r="H471">
        <v>1815</v>
      </c>
    </row>
    <row r="472" spans="1:9" x14ac:dyDescent="0.35">
      <c r="A472" t="s">
        <v>119</v>
      </c>
      <c r="B472" t="s">
        <v>478</v>
      </c>
      <c r="C472" s="1" t="s">
        <v>473</v>
      </c>
      <c r="D472">
        <v>2023</v>
      </c>
      <c r="E472" t="s">
        <v>145</v>
      </c>
      <c r="F472">
        <v>5350</v>
      </c>
      <c r="G472">
        <v>1917</v>
      </c>
      <c r="H472">
        <v>1884</v>
      </c>
    </row>
    <row r="473" spans="1:9" x14ac:dyDescent="0.35">
      <c r="A473" t="s">
        <v>49</v>
      </c>
      <c r="B473" t="s">
        <v>479</v>
      </c>
      <c r="C473" s="1" t="s">
        <v>473</v>
      </c>
      <c r="D473">
        <v>2023</v>
      </c>
      <c r="E473" t="s">
        <v>145</v>
      </c>
      <c r="F473">
        <v>5370</v>
      </c>
      <c r="G473">
        <v>1918</v>
      </c>
      <c r="H473">
        <v>1884</v>
      </c>
    </row>
    <row r="474" spans="1:9" x14ac:dyDescent="0.35">
      <c r="A474" t="s">
        <v>49</v>
      </c>
      <c r="B474" t="s">
        <v>480</v>
      </c>
      <c r="C474" s="1" t="s">
        <v>473</v>
      </c>
      <c r="D474">
        <v>2023</v>
      </c>
      <c r="E474" t="s">
        <v>20</v>
      </c>
      <c r="F474">
        <v>5381</v>
      </c>
      <c r="G474">
        <v>2028</v>
      </c>
      <c r="H474">
        <v>1922</v>
      </c>
    </row>
    <row r="475" spans="1:9" x14ac:dyDescent="0.35">
      <c r="A475" t="s">
        <v>352</v>
      </c>
      <c r="B475" t="s">
        <v>481</v>
      </c>
      <c r="C475" s="1" t="s">
        <v>473</v>
      </c>
      <c r="D475">
        <v>2023</v>
      </c>
      <c r="E475" t="s">
        <v>145</v>
      </c>
      <c r="F475">
        <v>5405</v>
      </c>
      <c r="G475">
        <v>1950</v>
      </c>
      <c r="H475">
        <v>1885</v>
      </c>
    </row>
    <row r="476" spans="1:9" x14ac:dyDescent="0.35">
      <c r="A476" t="s">
        <v>284</v>
      </c>
      <c r="B476" t="s">
        <v>482</v>
      </c>
      <c r="C476" s="1" t="s">
        <v>473</v>
      </c>
      <c r="D476">
        <v>2021</v>
      </c>
      <c r="E476" t="s">
        <v>145</v>
      </c>
      <c r="F476">
        <v>5591</v>
      </c>
      <c r="G476">
        <v>1894</v>
      </c>
      <c r="H476">
        <v>1843</v>
      </c>
    </row>
    <row r="477" spans="1:9" x14ac:dyDescent="0.35">
      <c r="A477" t="s">
        <v>49</v>
      </c>
      <c r="B477" t="s">
        <v>484</v>
      </c>
      <c r="C477" s="1" t="s">
        <v>483</v>
      </c>
      <c r="D477">
        <v>2024</v>
      </c>
      <c r="E477" t="s">
        <v>19</v>
      </c>
      <c r="F477">
        <v>4337</v>
      </c>
      <c r="G477">
        <v>1791</v>
      </c>
      <c r="H477">
        <v>1817</v>
      </c>
      <c r="I477">
        <v>570</v>
      </c>
    </row>
    <row r="478" spans="1:9" x14ac:dyDescent="0.35">
      <c r="A478" t="s">
        <v>49</v>
      </c>
      <c r="B478" t="s">
        <v>484</v>
      </c>
      <c r="C478" s="1" t="s">
        <v>483</v>
      </c>
      <c r="D478">
        <v>2024</v>
      </c>
      <c r="E478" t="s">
        <v>21</v>
      </c>
      <c r="F478">
        <v>4337</v>
      </c>
      <c r="G478">
        <v>1791</v>
      </c>
      <c r="H478">
        <v>1817</v>
      </c>
      <c r="I478">
        <v>614</v>
      </c>
    </row>
    <row r="479" spans="1:9" x14ac:dyDescent="0.35">
      <c r="A479" t="s">
        <v>43</v>
      </c>
      <c r="B479" t="s">
        <v>485</v>
      </c>
      <c r="C479" s="1" t="s">
        <v>483</v>
      </c>
      <c r="D479">
        <v>2022</v>
      </c>
      <c r="E479" t="s">
        <v>21</v>
      </c>
      <c r="F479">
        <v>4400</v>
      </c>
      <c r="G479">
        <v>1840</v>
      </c>
      <c r="H479">
        <v>1840</v>
      </c>
      <c r="I479">
        <v>775</v>
      </c>
    </row>
    <row r="480" spans="1:9" x14ac:dyDescent="0.35">
      <c r="A480" t="s">
        <v>34</v>
      </c>
      <c r="B480" t="s">
        <v>486</v>
      </c>
      <c r="C480" s="1" t="s">
        <v>483</v>
      </c>
      <c r="D480">
        <v>2019</v>
      </c>
      <c r="E480" t="s">
        <v>36</v>
      </c>
      <c r="F480">
        <v>4403</v>
      </c>
      <c r="G480">
        <v>1848</v>
      </c>
      <c r="H480">
        <v>1874</v>
      </c>
      <c r="I480">
        <v>597</v>
      </c>
    </row>
    <row r="481" spans="1:9" x14ac:dyDescent="0.35">
      <c r="A481" t="s">
        <v>47</v>
      </c>
      <c r="B481" t="s">
        <v>487</v>
      </c>
      <c r="C481" s="1" t="s">
        <v>483</v>
      </c>
      <c r="D481">
        <v>2024</v>
      </c>
      <c r="E481" t="s">
        <v>488</v>
      </c>
      <c r="F481">
        <v>4403</v>
      </c>
      <c r="G481">
        <v>1848</v>
      </c>
      <c r="H481">
        <v>1841</v>
      </c>
      <c r="I481">
        <v>597</v>
      </c>
    </row>
    <row r="482" spans="1:9" x14ac:dyDescent="0.35">
      <c r="A482" t="s">
        <v>45</v>
      </c>
      <c r="B482" t="s">
        <v>489</v>
      </c>
      <c r="C482" s="1" t="s">
        <v>483</v>
      </c>
      <c r="D482">
        <v>2024</v>
      </c>
      <c r="E482" t="s">
        <v>490</v>
      </c>
      <c r="F482">
        <v>4403</v>
      </c>
      <c r="G482">
        <v>1848</v>
      </c>
      <c r="H482">
        <v>1860</v>
      </c>
      <c r="I482">
        <v>775</v>
      </c>
    </row>
    <row r="483" spans="1:9" x14ac:dyDescent="0.35">
      <c r="A483" t="s">
        <v>40</v>
      </c>
      <c r="B483" t="s">
        <v>491</v>
      </c>
      <c r="C483" s="1" t="s">
        <v>483</v>
      </c>
      <c r="D483">
        <v>2024</v>
      </c>
      <c r="E483" t="s">
        <v>488</v>
      </c>
      <c r="F483">
        <v>4405</v>
      </c>
      <c r="G483">
        <v>1848</v>
      </c>
      <c r="H483">
        <v>1818</v>
      </c>
      <c r="I483">
        <v>597</v>
      </c>
    </row>
    <row r="484" spans="1:9" x14ac:dyDescent="0.35">
      <c r="A484" t="s">
        <v>106</v>
      </c>
      <c r="B484" t="s">
        <v>492</v>
      </c>
      <c r="C484" s="1" t="s">
        <v>483</v>
      </c>
      <c r="D484">
        <v>2021</v>
      </c>
      <c r="E484" t="s">
        <v>20</v>
      </c>
      <c r="F484">
        <v>4486</v>
      </c>
      <c r="G484">
        <v>1860</v>
      </c>
      <c r="H484">
        <v>1848</v>
      </c>
      <c r="I484">
        <v>775</v>
      </c>
    </row>
    <row r="485" spans="1:9" x14ac:dyDescent="0.35">
      <c r="A485" t="s">
        <v>106</v>
      </c>
      <c r="B485" t="s">
        <v>492</v>
      </c>
      <c r="C485" s="1" t="s">
        <v>483</v>
      </c>
      <c r="D485">
        <v>2021</v>
      </c>
      <c r="E485" t="s">
        <v>21</v>
      </c>
      <c r="F485">
        <v>4486</v>
      </c>
      <c r="G485">
        <v>1860</v>
      </c>
      <c r="H485">
        <v>1848</v>
      </c>
      <c r="I485">
        <v>850</v>
      </c>
    </row>
    <row r="486" spans="1:9" x14ac:dyDescent="0.35">
      <c r="A486" t="s">
        <v>62</v>
      </c>
      <c r="B486" t="s">
        <v>493</v>
      </c>
      <c r="C486" s="1" t="s">
        <v>483</v>
      </c>
      <c r="D486">
        <v>2022</v>
      </c>
      <c r="E486" t="s">
        <v>19</v>
      </c>
      <c r="F486">
        <v>4486</v>
      </c>
      <c r="G486">
        <v>1860</v>
      </c>
      <c r="H486">
        <v>1893</v>
      </c>
      <c r="I486">
        <v>775</v>
      </c>
    </row>
    <row r="487" spans="1:9" x14ac:dyDescent="0.35">
      <c r="A487" t="s">
        <v>81</v>
      </c>
      <c r="B487" t="s">
        <v>494</v>
      </c>
      <c r="C487" s="1" t="s">
        <v>483</v>
      </c>
      <c r="D487">
        <v>2022</v>
      </c>
      <c r="E487" t="s">
        <v>20</v>
      </c>
      <c r="F487">
        <v>4498</v>
      </c>
      <c r="G487">
        <v>1859</v>
      </c>
      <c r="H487">
        <v>1811</v>
      </c>
      <c r="I487">
        <v>517</v>
      </c>
    </row>
    <row r="488" spans="1:9" x14ac:dyDescent="0.35">
      <c r="A488" t="s">
        <v>119</v>
      </c>
      <c r="B488" t="s">
        <v>495</v>
      </c>
      <c r="C488" s="1" t="s">
        <v>483</v>
      </c>
      <c r="D488">
        <v>2024</v>
      </c>
      <c r="E488" t="s">
        <v>497</v>
      </c>
      <c r="F488">
        <v>4500</v>
      </c>
      <c r="G488">
        <v>1855</v>
      </c>
      <c r="H488">
        <v>1833</v>
      </c>
      <c r="I488">
        <v>1213</v>
      </c>
    </row>
    <row r="489" spans="1:9" x14ac:dyDescent="0.35">
      <c r="A489" t="s">
        <v>49</v>
      </c>
      <c r="B489" t="s">
        <v>496</v>
      </c>
      <c r="C489" s="1" t="s">
        <v>483</v>
      </c>
      <c r="D489">
        <v>2022</v>
      </c>
      <c r="E489" t="s">
        <v>497</v>
      </c>
      <c r="F489">
        <v>4500</v>
      </c>
      <c r="G489">
        <v>1855</v>
      </c>
      <c r="H489">
        <v>1833</v>
      </c>
      <c r="I489">
        <v>1213</v>
      </c>
    </row>
    <row r="490" spans="1:9" x14ac:dyDescent="0.35">
      <c r="A490" t="s">
        <v>34</v>
      </c>
      <c r="B490" t="s">
        <v>498</v>
      </c>
      <c r="C490" s="1" t="s">
        <v>483</v>
      </c>
      <c r="D490">
        <v>2016</v>
      </c>
      <c r="E490" t="s">
        <v>488</v>
      </c>
      <c r="F490">
        <v>4606</v>
      </c>
      <c r="G490">
        <v>1920</v>
      </c>
      <c r="H490">
        <v>1905</v>
      </c>
      <c r="I490">
        <v>1978</v>
      </c>
    </row>
    <row r="491" spans="1:9" x14ac:dyDescent="0.35">
      <c r="A491" t="s">
        <v>119</v>
      </c>
      <c r="B491" t="s">
        <v>499</v>
      </c>
      <c r="C491" s="1" t="s">
        <v>483</v>
      </c>
      <c r="D491">
        <v>2022</v>
      </c>
      <c r="E491" t="s">
        <v>21</v>
      </c>
      <c r="F491">
        <v>4712</v>
      </c>
      <c r="G491">
        <v>1985</v>
      </c>
      <c r="H491">
        <v>1937</v>
      </c>
      <c r="I491">
        <v>1121</v>
      </c>
    </row>
    <row r="492" spans="1:9" x14ac:dyDescent="0.35">
      <c r="A492" t="s">
        <v>34</v>
      </c>
      <c r="B492" t="s">
        <v>500</v>
      </c>
      <c r="C492" s="1" t="s">
        <v>483</v>
      </c>
      <c r="D492">
        <v>2019</v>
      </c>
      <c r="E492" t="s">
        <v>36</v>
      </c>
      <c r="F492">
        <v>4753</v>
      </c>
      <c r="G492">
        <v>1848</v>
      </c>
      <c r="H492">
        <v>1879</v>
      </c>
      <c r="I492">
        <v>850</v>
      </c>
    </row>
    <row r="493" spans="1:9" x14ac:dyDescent="0.35">
      <c r="A493" t="s">
        <v>47</v>
      </c>
      <c r="B493" t="s">
        <v>501</v>
      </c>
      <c r="C493" s="1" t="s">
        <v>483</v>
      </c>
      <c r="D493">
        <v>2019</v>
      </c>
      <c r="E493" t="s">
        <v>488</v>
      </c>
      <c r="F493">
        <v>4735</v>
      </c>
      <c r="G493">
        <v>1848</v>
      </c>
      <c r="H493">
        <v>1880</v>
      </c>
      <c r="I493">
        <v>850</v>
      </c>
    </row>
    <row r="494" spans="1:9" x14ac:dyDescent="0.35">
      <c r="A494" t="s">
        <v>45</v>
      </c>
      <c r="B494" t="s">
        <v>502</v>
      </c>
      <c r="C494" s="1" t="s">
        <v>483</v>
      </c>
      <c r="D494">
        <v>2024</v>
      </c>
      <c r="E494" t="s">
        <v>36</v>
      </c>
      <c r="F494">
        <v>4753</v>
      </c>
      <c r="G494">
        <v>1848</v>
      </c>
      <c r="H494">
        <v>1860</v>
      </c>
      <c r="I494">
        <v>850</v>
      </c>
    </row>
    <row r="495" spans="1:9" x14ac:dyDescent="0.35">
      <c r="A495" t="s">
        <v>40</v>
      </c>
      <c r="B495" t="s">
        <v>503</v>
      </c>
      <c r="C495" s="1" t="s">
        <v>483</v>
      </c>
      <c r="D495">
        <v>2024</v>
      </c>
      <c r="E495" t="s">
        <v>488</v>
      </c>
      <c r="F495">
        <v>4755</v>
      </c>
      <c r="G495">
        <v>1848</v>
      </c>
      <c r="H495">
        <v>1837</v>
      </c>
      <c r="I495">
        <v>850</v>
      </c>
    </row>
    <row r="496" spans="1:9" x14ac:dyDescent="0.35">
      <c r="A496" t="s">
        <v>119</v>
      </c>
      <c r="B496" t="s">
        <v>504</v>
      </c>
      <c r="C496" s="1" t="s">
        <v>483</v>
      </c>
      <c r="D496">
        <v>2024</v>
      </c>
      <c r="E496" t="s">
        <v>497</v>
      </c>
      <c r="F496">
        <v>4853</v>
      </c>
      <c r="G496">
        <v>1855</v>
      </c>
      <c r="H496">
        <v>1800</v>
      </c>
      <c r="I496">
        <v>1720</v>
      </c>
    </row>
    <row r="497" spans="1:9" x14ac:dyDescent="0.35">
      <c r="A497" t="s">
        <v>49</v>
      </c>
      <c r="B497" t="s">
        <v>505</v>
      </c>
      <c r="C497" s="1" t="s">
        <v>483</v>
      </c>
      <c r="D497">
        <v>2022</v>
      </c>
      <c r="E497" t="s">
        <v>497</v>
      </c>
      <c r="F497">
        <v>4853</v>
      </c>
      <c r="G497">
        <v>1855</v>
      </c>
      <c r="H497">
        <v>1835</v>
      </c>
      <c r="I497">
        <v>1720</v>
      </c>
    </row>
    <row r="498" spans="1:9" x14ac:dyDescent="0.35">
      <c r="A498" t="s">
        <v>81</v>
      </c>
      <c r="B498" t="s">
        <v>517</v>
      </c>
      <c r="C498" s="1" t="s">
        <v>483</v>
      </c>
      <c r="D498">
        <v>2024</v>
      </c>
      <c r="E498" t="s">
        <v>145</v>
      </c>
      <c r="F498">
        <v>4895</v>
      </c>
      <c r="G498">
        <v>1928</v>
      </c>
      <c r="H498">
        <v>1907</v>
      </c>
      <c r="I498">
        <v>2400</v>
      </c>
    </row>
    <row r="499" spans="1:9" x14ac:dyDescent="0.35">
      <c r="A499" t="s">
        <v>119</v>
      </c>
      <c r="B499" t="s">
        <v>506</v>
      </c>
      <c r="C499" s="1" t="s">
        <v>483</v>
      </c>
      <c r="D499">
        <v>2020</v>
      </c>
      <c r="E499" t="s">
        <v>145</v>
      </c>
      <c r="F499">
        <v>4904</v>
      </c>
      <c r="G499">
        <v>1904</v>
      </c>
      <c r="H499">
        <v>1990</v>
      </c>
    </row>
    <row r="500" spans="1:9" x14ac:dyDescent="0.35">
      <c r="A500" t="s">
        <v>106</v>
      </c>
      <c r="B500" t="s">
        <v>507</v>
      </c>
      <c r="C500" s="1" t="s">
        <v>483</v>
      </c>
      <c r="D500">
        <v>2024</v>
      </c>
      <c r="E500" t="s">
        <v>20</v>
      </c>
      <c r="F500">
        <v>4911</v>
      </c>
      <c r="G500">
        <v>1860</v>
      </c>
      <c r="H500">
        <v>1869</v>
      </c>
      <c r="I500">
        <v>1350</v>
      </c>
    </row>
    <row r="501" spans="1:9" x14ac:dyDescent="0.35">
      <c r="A501" t="s">
        <v>34</v>
      </c>
      <c r="B501" t="s">
        <v>508</v>
      </c>
      <c r="C501" s="1" t="s">
        <v>483</v>
      </c>
      <c r="D501">
        <v>2024</v>
      </c>
      <c r="E501" t="s">
        <v>488</v>
      </c>
      <c r="F501">
        <v>4956</v>
      </c>
      <c r="G501">
        <v>1920</v>
      </c>
      <c r="H501">
        <v>1890</v>
      </c>
      <c r="I501">
        <v>2381</v>
      </c>
    </row>
    <row r="502" spans="1:9" x14ac:dyDescent="0.35">
      <c r="A502" t="s">
        <v>43</v>
      </c>
      <c r="B502" t="s">
        <v>509</v>
      </c>
      <c r="C502" s="1" t="s">
        <v>483</v>
      </c>
      <c r="D502">
        <v>2024</v>
      </c>
      <c r="E502" t="s">
        <v>21</v>
      </c>
      <c r="F502">
        <v>4956</v>
      </c>
      <c r="G502">
        <v>1920</v>
      </c>
      <c r="H502">
        <v>1890</v>
      </c>
      <c r="I502">
        <v>2381</v>
      </c>
    </row>
    <row r="503" spans="1:9" x14ac:dyDescent="0.35">
      <c r="A503" t="s">
        <v>45</v>
      </c>
      <c r="B503" t="s">
        <v>510</v>
      </c>
      <c r="C503" s="1" t="s">
        <v>483</v>
      </c>
      <c r="D503">
        <v>2024</v>
      </c>
      <c r="E503" t="s">
        <v>488</v>
      </c>
      <c r="F503">
        <v>4956</v>
      </c>
      <c r="G503">
        <v>1920</v>
      </c>
      <c r="H503">
        <v>1890</v>
      </c>
      <c r="I503">
        <v>2381</v>
      </c>
    </row>
    <row r="504" spans="1:9" x14ac:dyDescent="0.35">
      <c r="A504" t="s">
        <v>119</v>
      </c>
      <c r="B504" t="s">
        <v>511</v>
      </c>
      <c r="C504" s="1" t="s">
        <v>483</v>
      </c>
      <c r="D504">
        <v>2022</v>
      </c>
      <c r="E504" t="s">
        <v>116</v>
      </c>
      <c r="F504">
        <v>4973</v>
      </c>
      <c r="G504">
        <v>1941</v>
      </c>
      <c r="H504">
        <v>1907</v>
      </c>
      <c r="I504">
        <v>1700</v>
      </c>
    </row>
    <row r="505" spans="1:9" x14ac:dyDescent="0.35">
      <c r="A505" t="s">
        <v>40</v>
      </c>
      <c r="B505" t="s">
        <v>512</v>
      </c>
      <c r="C505" s="1" t="s">
        <v>483</v>
      </c>
      <c r="D505">
        <v>2024</v>
      </c>
      <c r="E505" t="s">
        <v>488</v>
      </c>
      <c r="F505">
        <v>4981</v>
      </c>
      <c r="G505">
        <v>1920</v>
      </c>
      <c r="H505">
        <v>1890</v>
      </c>
      <c r="I505">
        <v>2381</v>
      </c>
    </row>
    <row r="506" spans="1:9" x14ac:dyDescent="0.35">
      <c r="A506" t="s">
        <v>47</v>
      </c>
      <c r="B506" t="s">
        <v>513</v>
      </c>
      <c r="C506" s="1" t="s">
        <v>483</v>
      </c>
      <c r="D506">
        <v>2024</v>
      </c>
      <c r="E506" t="s">
        <v>488</v>
      </c>
      <c r="F506">
        <v>4981</v>
      </c>
      <c r="G506">
        <v>1920</v>
      </c>
      <c r="H506">
        <v>1890</v>
      </c>
      <c r="I506">
        <v>2381</v>
      </c>
    </row>
    <row r="507" spans="1:9" x14ac:dyDescent="0.35">
      <c r="A507" t="s">
        <v>49</v>
      </c>
      <c r="B507" t="s">
        <v>526</v>
      </c>
      <c r="C507" s="1" t="s">
        <v>483</v>
      </c>
      <c r="D507">
        <v>2024</v>
      </c>
      <c r="E507" t="s">
        <v>514</v>
      </c>
      <c r="F507">
        <v>5050</v>
      </c>
      <c r="G507">
        <v>2032</v>
      </c>
      <c r="H507">
        <v>1983</v>
      </c>
    </row>
    <row r="508" spans="1:9" x14ac:dyDescent="0.35">
      <c r="A508" t="s">
        <v>106</v>
      </c>
      <c r="B508" t="s">
        <v>515</v>
      </c>
      <c r="C508" s="1" t="s">
        <v>483</v>
      </c>
      <c r="D508">
        <v>2021</v>
      </c>
      <c r="E508" t="s">
        <v>145</v>
      </c>
      <c r="F508">
        <v>5080</v>
      </c>
      <c r="G508">
        <v>1956</v>
      </c>
      <c r="H508">
        <v>1901</v>
      </c>
      <c r="I508">
        <v>2500</v>
      </c>
    </row>
    <row r="509" spans="1:9" x14ac:dyDescent="0.35">
      <c r="A509" t="s">
        <v>81</v>
      </c>
      <c r="B509" t="s">
        <v>516</v>
      </c>
      <c r="C509" s="1" t="s">
        <v>483</v>
      </c>
      <c r="D509">
        <v>2024</v>
      </c>
      <c r="E509" t="s">
        <v>488</v>
      </c>
      <c r="F509">
        <v>5140</v>
      </c>
      <c r="G509">
        <v>1928</v>
      </c>
      <c r="H509">
        <v>1901</v>
      </c>
      <c r="I509">
        <v>2820</v>
      </c>
    </row>
    <row r="510" spans="1:9" x14ac:dyDescent="0.35">
      <c r="A510" t="s">
        <v>119</v>
      </c>
      <c r="B510" t="s">
        <v>518</v>
      </c>
      <c r="C510" s="1" t="s">
        <v>483</v>
      </c>
      <c r="D510">
        <v>2022</v>
      </c>
      <c r="E510" t="s">
        <v>116</v>
      </c>
      <c r="F510">
        <v>5173</v>
      </c>
      <c r="G510">
        <v>1941</v>
      </c>
      <c r="H510">
        <v>1907</v>
      </c>
      <c r="I510">
        <v>1900</v>
      </c>
    </row>
    <row r="511" spans="1:9" x14ac:dyDescent="0.35">
      <c r="A511" t="s">
        <v>119</v>
      </c>
      <c r="B511" t="s">
        <v>519</v>
      </c>
      <c r="C511" s="1" t="s">
        <v>483</v>
      </c>
      <c r="D511">
        <v>2020</v>
      </c>
      <c r="E511" t="s">
        <v>145</v>
      </c>
      <c r="F511">
        <v>5304</v>
      </c>
      <c r="G511">
        <v>1904</v>
      </c>
      <c r="H511">
        <v>1990</v>
      </c>
    </row>
    <row r="512" spans="1:9" x14ac:dyDescent="0.35">
      <c r="A512" t="s">
        <v>34</v>
      </c>
      <c r="B512" t="s">
        <v>520</v>
      </c>
      <c r="C512" s="1" t="s">
        <v>483</v>
      </c>
      <c r="D512">
        <v>2024</v>
      </c>
      <c r="E512" t="s">
        <v>488</v>
      </c>
      <c r="F512">
        <v>5306</v>
      </c>
      <c r="G512">
        <v>1920</v>
      </c>
      <c r="H512">
        <v>1890</v>
      </c>
      <c r="I512">
        <v>2932</v>
      </c>
    </row>
    <row r="513" spans="1:12" x14ac:dyDescent="0.35">
      <c r="A513" t="s">
        <v>45</v>
      </c>
      <c r="B513" t="s">
        <v>521</v>
      </c>
      <c r="C513" s="1" t="s">
        <v>483</v>
      </c>
      <c r="D513">
        <v>2024</v>
      </c>
      <c r="E513" t="s">
        <v>488</v>
      </c>
      <c r="F513">
        <v>5309</v>
      </c>
      <c r="G513">
        <v>1920</v>
      </c>
      <c r="H513">
        <v>1890</v>
      </c>
      <c r="I513">
        <v>2932</v>
      </c>
    </row>
    <row r="514" spans="1:12" x14ac:dyDescent="0.35">
      <c r="A514" t="s">
        <v>40</v>
      </c>
      <c r="B514" t="s">
        <v>522</v>
      </c>
      <c r="C514" s="1" t="s">
        <v>483</v>
      </c>
      <c r="D514">
        <v>2024</v>
      </c>
      <c r="E514" t="s">
        <v>488</v>
      </c>
      <c r="F514">
        <v>5331</v>
      </c>
      <c r="G514">
        <v>1920</v>
      </c>
      <c r="H514">
        <v>1890</v>
      </c>
      <c r="I514">
        <v>2932</v>
      </c>
    </row>
    <row r="515" spans="1:12" x14ac:dyDescent="0.35">
      <c r="A515" t="s">
        <v>47</v>
      </c>
      <c r="B515" t="s">
        <v>523</v>
      </c>
      <c r="C515" s="1" t="s">
        <v>483</v>
      </c>
      <c r="D515">
        <v>2024</v>
      </c>
      <c r="E515" t="s">
        <v>488</v>
      </c>
      <c r="F515">
        <v>5331</v>
      </c>
      <c r="G515">
        <v>1920</v>
      </c>
      <c r="H515">
        <v>1910</v>
      </c>
      <c r="I515">
        <v>2932</v>
      </c>
    </row>
    <row r="516" spans="1:12" x14ac:dyDescent="0.35">
      <c r="A516" t="s">
        <v>81</v>
      </c>
      <c r="B516" t="s">
        <v>524</v>
      </c>
      <c r="C516" s="1" t="s">
        <v>483</v>
      </c>
      <c r="D516">
        <v>2024</v>
      </c>
      <c r="E516" t="s">
        <v>490</v>
      </c>
      <c r="F516">
        <v>5370</v>
      </c>
      <c r="G516">
        <v>1928</v>
      </c>
      <c r="H516">
        <v>1908</v>
      </c>
      <c r="I516">
        <v>3200</v>
      </c>
    </row>
    <row r="517" spans="1:12" x14ac:dyDescent="0.35">
      <c r="A517" t="s">
        <v>106</v>
      </c>
      <c r="B517" t="s">
        <v>525</v>
      </c>
      <c r="C517" s="1" t="s">
        <v>483</v>
      </c>
      <c r="D517">
        <v>2021</v>
      </c>
      <c r="E517" t="s">
        <v>145</v>
      </c>
      <c r="F517">
        <v>5480</v>
      </c>
      <c r="G517">
        <v>1956</v>
      </c>
      <c r="H517">
        <v>1973</v>
      </c>
      <c r="I517">
        <v>3400</v>
      </c>
    </row>
    <row r="518" spans="1:12" x14ac:dyDescent="0.35">
      <c r="A518" t="s">
        <v>49</v>
      </c>
      <c r="B518" t="s">
        <v>527</v>
      </c>
      <c r="C518" s="1" t="s">
        <v>483</v>
      </c>
      <c r="D518">
        <v>2024</v>
      </c>
      <c r="E518" t="s">
        <v>514</v>
      </c>
      <c r="F518">
        <v>5450</v>
      </c>
      <c r="G518">
        <v>1950</v>
      </c>
      <c r="H518">
        <v>1983</v>
      </c>
    </row>
    <row r="519" spans="1:12" x14ac:dyDescent="0.35">
      <c r="A519" t="s">
        <v>24</v>
      </c>
      <c r="B519" t="s">
        <v>347</v>
      </c>
      <c r="D519">
        <v>2025</v>
      </c>
      <c r="E519" t="s">
        <v>110</v>
      </c>
      <c r="I519">
        <v>451</v>
      </c>
      <c r="L519">
        <v>26460</v>
      </c>
    </row>
    <row r="520" spans="1:12" x14ac:dyDescent="0.35">
      <c r="A520" t="s">
        <v>24</v>
      </c>
      <c r="B520" t="s">
        <v>448</v>
      </c>
      <c r="D520">
        <v>2025</v>
      </c>
      <c r="E520" t="s">
        <v>110</v>
      </c>
      <c r="I520">
        <v>608</v>
      </c>
      <c r="L520">
        <v>49360</v>
      </c>
    </row>
  </sheetData>
  <autoFilter ref="E1:E520" xr:uid="{6E22D228-EF8A-431F-9518-9025F09BAF4F}"/>
  <mergeCells count="3">
    <mergeCell ref="J1:K1"/>
    <mergeCell ref="I1:I2"/>
    <mergeCell ref="L1:L2"/>
  </mergeCells>
  <pageMargins left="0.7" right="0.7" top="0.75" bottom="0.75" header="0.3" footer="0.3"/>
  <ignoredErrors>
    <ignoredError sqref="B150:B151 B126:B127 B123 B121 B361:B362 B431 B448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E864C-F785-46FE-93DD-9531BB2D5E5A}">
  <dimension ref="A1:V173"/>
  <sheetViews>
    <sheetView workbookViewId="0">
      <pane ySplit="1" topLeftCell="A2" activePane="bottomLeft" state="frozen"/>
      <selection pane="bottomLeft" activeCell="F9" sqref="F9"/>
    </sheetView>
  </sheetViews>
  <sheetFormatPr baseColWidth="10" defaultRowHeight="14.5" x14ac:dyDescent="0.35"/>
  <cols>
    <col min="1" max="1" width="15" customWidth="1"/>
    <col min="2" max="2" width="21.81640625" bestFit="1" customWidth="1"/>
    <col min="3" max="3" width="18.54296875" bestFit="1" customWidth="1"/>
    <col min="4" max="4" width="18.54296875" style="1" customWidth="1"/>
    <col min="5" max="5" width="10.90625" style="1"/>
    <col min="6" max="6" width="15.453125" style="1" bestFit="1" customWidth="1"/>
    <col min="7" max="7" width="99" style="4" bestFit="1" customWidth="1"/>
    <col min="8" max="8" width="51.36328125" style="4" customWidth="1"/>
    <col min="9" max="9" width="14.81640625" customWidth="1"/>
    <col min="10" max="10" width="15.08984375" customWidth="1"/>
    <col min="11" max="11" width="21.08984375" style="5" customWidth="1"/>
    <col min="12" max="12" width="12.54296875" style="5" customWidth="1"/>
  </cols>
  <sheetData>
    <row r="1" spans="1:22" x14ac:dyDescent="0.35">
      <c r="A1" s="3" t="s">
        <v>1076</v>
      </c>
      <c r="B1" s="3" t="s">
        <v>1077</v>
      </c>
      <c r="C1" s="3" t="s">
        <v>1088</v>
      </c>
      <c r="D1" s="3" t="s">
        <v>1078</v>
      </c>
      <c r="E1" s="3" t="s">
        <v>1079</v>
      </c>
      <c r="F1" s="3" t="s">
        <v>1089</v>
      </c>
      <c r="G1" s="3" t="s">
        <v>1094</v>
      </c>
      <c r="H1" s="3" t="s">
        <v>547</v>
      </c>
      <c r="I1" s="3" t="s">
        <v>533</v>
      </c>
      <c r="J1" s="3" t="s">
        <v>530</v>
      </c>
      <c r="K1" s="3" t="s">
        <v>531</v>
      </c>
      <c r="L1" s="3" t="s">
        <v>532</v>
      </c>
      <c r="M1" s="3" t="s">
        <v>909</v>
      </c>
      <c r="N1" s="3" t="s">
        <v>910</v>
      </c>
      <c r="O1" s="3" t="s">
        <v>911</v>
      </c>
      <c r="P1" s="3" t="s">
        <v>912</v>
      </c>
      <c r="Q1" s="3" t="s">
        <v>913</v>
      </c>
      <c r="R1" s="3" t="s">
        <v>914</v>
      </c>
      <c r="S1" s="3" t="s">
        <v>915</v>
      </c>
      <c r="T1" s="3" t="s">
        <v>916</v>
      </c>
      <c r="U1" s="3" t="s">
        <v>917</v>
      </c>
      <c r="V1" s="3" t="s">
        <v>918</v>
      </c>
    </row>
    <row r="2" spans="1:22" x14ac:dyDescent="0.35">
      <c r="A2" t="s">
        <v>199</v>
      </c>
      <c r="B2" t="s">
        <v>971</v>
      </c>
      <c r="C2" t="s">
        <v>580</v>
      </c>
      <c r="D2" s="1" t="s">
        <v>542</v>
      </c>
      <c r="E2" s="1">
        <v>2025</v>
      </c>
      <c r="F2" s="1" t="s">
        <v>571</v>
      </c>
      <c r="G2" s="4" t="s">
        <v>1087</v>
      </c>
      <c r="H2" s="4" t="s">
        <v>1086</v>
      </c>
      <c r="I2">
        <v>74</v>
      </c>
      <c r="J2">
        <v>85</v>
      </c>
      <c r="K2" s="5">
        <v>80</v>
      </c>
      <c r="L2" s="5">
        <v>77</v>
      </c>
      <c r="M2">
        <f>_xlfn.RANK.AVG(I2, I$2:I$170, 1)</f>
        <v>11</v>
      </c>
      <c r="N2">
        <f t="shared" ref="N2:P2" si="0">_xlfn.RANK.AVG(J2, J$2:J$170, 1)</f>
        <v>61</v>
      </c>
      <c r="O2">
        <f t="shared" si="0"/>
        <v>89.5</v>
      </c>
      <c r="P2">
        <f t="shared" si="0"/>
        <v>71.5</v>
      </c>
      <c r="Q2">
        <f>(M2-N2)^2</f>
        <v>2500</v>
      </c>
      <c r="R2">
        <f>(M2-O2)^2</f>
        <v>6162.25</v>
      </c>
      <c r="S2">
        <f>(M2-P2)^2</f>
        <v>3660.25</v>
      </c>
      <c r="T2">
        <f>(N2-O2)^2</f>
        <v>812.25</v>
      </c>
      <c r="U2">
        <f>(N2-P2)^2</f>
        <v>110.25</v>
      </c>
      <c r="V2">
        <f>(O2-P2)^2</f>
        <v>324</v>
      </c>
    </row>
    <row r="3" spans="1:22" x14ac:dyDescent="0.35">
      <c r="A3" t="s">
        <v>743</v>
      </c>
      <c r="B3" t="s">
        <v>972</v>
      </c>
      <c r="C3" t="s">
        <v>580</v>
      </c>
      <c r="D3" s="1" t="s">
        <v>301</v>
      </c>
      <c r="E3" s="1">
        <v>2025</v>
      </c>
      <c r="F3" s="1" t="s">
        <v>570</v>
      </c>
      <c r="G3" s="91" t="s">
        <v>1096</v>
      </c>
      <c r="H3" s="4" t="s">
        <v>1090</v>
      </c>
      <c r="I3">
        <v>79</v>
      </c>
      <c r="J3">
        <v>85</v>
      </c>
      <c r="K3" s="5">
        <v>78</v>
      </c>
      <c r="L3" s="5">
        <v>80</v>
      </c>
      <c r="M3">
        <f t="shared" ref="M3:M66" si="1">_xlfn.RANK.AVG(I3, I$2:I$170, 1)</f>
        <v>28.5</v>
      </c>
      <c r="N3">
        <f t="shared" ref="N3:N66" si="2">_xlfn.RANK.AVG(J3, J$2:J$170, 1)</f>
        <v>61</v>
      </c>
      <c r="O3">
        <f t="shared" ref="O3:O66" si="3">_xlfn.RANK.AVG(K3, K$2:K$170, 1)</f>
        <v>56</v>
      </c>
      <c r="P3">
        <f t="shared" ref="P3:P66" si="4">_xlfn.RANK.AVG(L3, L$2:L$170, 1)</f>
        <v>127.5</v>
      </c>
      <c r="Q3">
        <f t="shared" ref="Q3:Q66" si="5">(M3-N3)^2</f>
        <v>1056.25</v>
      </c>
      <c r="R3">
        <f t="shared" ref="R3:R66" si="6">(M3-O3)^2</f>
        <v>756.25</v>
      </c>
      <c r="S3">
        <f t="shared" ref="S3:S66" si="7">(M3-P3)^2</f>
        <v>9801</v>
      </c>
      <c r="T3">
        <f t="shared" ref="T3:T66" si="8">(N3-O3)^2</f>
        <v>25</v>
      </c>
      <c r="U3">
        <f t="shared" ref="U3:U66" si="9">(N3-P3)^2</f>
        <v>4422.25</v>
      </c>
      <c r="V3">
        <f t="shared" ref="V3:V66" si="10">(O3-P3)^2</f>
        <v>5112.25</v>
      </c>
    </row>
    <row r="4" spans="1:22" x14ac:dyDescent="0.35">
      <c r="A4" t="s">
        <v>552</v>
      </c>
      <c r="B4" t="s">
        <v>973</v>
      </c>
      <c r="C4" t="s">
        <v>580</v>
      </c>
      <c r="D4" s="1" t="s">
        <v>301</v>
      </c>
      <c r="E4" s="1">
        <v>2025</v>
      </c>
      <c r="F4" s="1" t="s">
        <v>571</v>
      </c>
      <c r="G4" s="4" t="s">
        <v>1093</v>
      </c>
      <c r="H4" s="4" t="s">
        <v>1091</v>
      </c>
      <c r="I4">
        <v>94</v>
      </c>
      <c r="J4">
        <v>87</v>
      </c>
      <c r="K4" s="5">
        <v>78</v>
      </c>
      <c r="L4" s="5">
        <v>76</v>
      </c>
      <c r="M4">
        <f t="shared" si="1"/>
        <v>163</v>
      </c>
      <c r="N4">
        <f t="shared" si="2"/>
        <v>121.5</v>
      </c>
      <c r="O4">
        <f t="shared" si="3"/>
        <v>56</v>
      </c>
      <c r="P4">
        <f t="shared" si="4"/>
        <v>58</v>
      </c>
      <c r="Q4">
        <f t="shared" si="5"/>
        <v>1722.25</v>
      </c>
      <c r="R4">
        <f t="shared" si="6"/>
        <v>11449</v>
      </c>
      <c r="S4">
        <f t="shared" si="7"/>
        <v>11025</v>
      </c>
      <c r="T4">
        <f t="shared" si="8"/>
        <v>4290.25</v>
      </c>
      <c r="U4">
        <f t="shared" si="9"/>
        <v>4032.25</v>
      </c>
      <c r="V4">
        <f t="shared" si="10"/>
        <v>4</v>
      </c>
    </row>
    <row r="5" spans="1:22" x14ac:dyDescent="0.35">
      <c r="A5" t="s">
        <v>955</v>
      </c>
      <c r="B5" t="s">
        <v>974</v>
      </c>
      <c r="C5" t="s">
        <v>580</v>
      </c>
      <c r="D5" s="1" t="s">
        <v>301</v>
      </c>
      <c r="E5" s="1">
        <v>2025</v>
      </c>
      <c r="F5" s="1" t="s">
        <v>570</v>
      </c>
      <c r="G5" s="91" t="s">
        <v>1092</v>
      </c>
      <c r="H5" s="4" t="s">
        <v>1095</v>
      </c>
      <c r="I5">
        <v>79</v>
      </c>
      <c r="J5">
        <v>85</v>
      </c>
      <c r="K5" s="5">
        <v>78</v>
      </c>
      <c r="L5" s="5">
        <v>80</v>
      </c>
      <c r="M5">
        <f t="shared" si="1"/>
        <v>28.5</v>
      </c>
      <c r="N5">
        <f t="shared" si="2"/>
        <v>61</v>
      </c>
      <c r="O5">
        <f t="shared" si="3"/>
        <v>56</v>
      </c>
      <c r="P5">
        <f t="shared" si="4"/>
        <v>127.5</v>
      </c>
      <c r="Q5">
        <f t="shared" si="5"/>
        <v>1056.25</v>
      </c>
      <c r="R5">
        <f t="shared" si="6"/>
        <v>756.25</v>
      </c>
      <c r="S5">
        <f t="shared" si="7"/>
        <v>9801</v>
      </c>
      <c r="T5">
        <f t="shared" si="8"/>
        <v>25</v>
      </c>
      <c r="U5">
        <f t="shared" si="9"/>
        <v>4422.25</v>
      </c>
      <c r="V5">
        <f t="shared" si="10"/>
        <v>5112.25</v>
      </c>
    </row>
    <row r="6" spans="1:22" x14ac:dyDescent="0.35">
      <c r="A6" t="s">
        <v>956</v>
      </c>
      <c r="B6" t="s">
        <v>975</v>
      </c>
      <c r="C6" t="s">
        <v>580</v>
      </c>
      <c r="D6" s="1" t="s">
        <v>556</v>
      </c>
      <c r="E6" s="1">
        <v>2025</v>
      </c>
      <c r="F6" s="1" t="s">
        <v>571</v>
      </c>
      <c r="G6" s="4" t="s">
        <v>1098</v>
      </c>
      <c r="H6" s="4" t="s">
        <v>1097</v>
      </c>
      <c r="I6">
        <v>90</v>
      </c>
      <c r="J6">
        <v>85</v>
      </c>
      <c r="K6" s="5">
        <v>76</v>
      </c>
      <c r="L6" s="5">
        <v>79</v>
      </c>
      <c r="M6">
        <f t="shared" si="1"/>
        <v>127.5</v>
      </c>
      <c r="N6">
        <f t="shared" si="2"/>
        <v>61</v>
      </c>
      <c r="O6">
        <f t="shared" si="3"/>
        <v>27.5</v>
      </c>
      <c r="P6">
        <f t="shared" si="4"/>
        <v>108.5</v>
      </c>
      <c r="Q6">
        <f t="shared" si="5"/>
        <v>4422.25</v>
      </c>
      <c r="R6">
        <f t="shared" si="6"/>
        <v>10000</v>
      </c>
      <c r="S6">
        <f t="shared" si="7"/>
        <v>361</v>
      </c>
      <c r="T6">
        <f t="shared" si="8"/>
        <v>1122.25</v>
      </c>
      <c r="U6">
        <f t="shared" si="9"/>
        <v>2256.25</v>
      </c>
      <c r="V6">
        <f t="shared" si="10"/>
        <v>6561</v>
      </c>
    </row>
    <row r="7" spans="1:22" x14ac:dyDescent="0.35">
      <c r="A7" t="s">
        <v>957</v>
      </c>
      <c r="B7" t="s">
        <v>976</v>
      </c>
      <c r="C7" t="s">
        <v>580</v>
      </c>
      <c r="D7" s="1" t="s">
        <v>301</v>
      </c>
      <c r="E7" s="1">
        <v>2025</v>
      </c>
      <c r="F7" s="1" t="s">
        <v>784</v>
      </c>
      <c r="G7" s="4" t="s">
        <v>1100</v>
      </c>
      <c r="H7" s="4" t="s">
        <v>1099</v>
      </c>
      <c r="I7">
        <v>90</v>
      </c>
      <c r="J7">
        <v>87</v>
      </c>
      <c r="K7" s="5">
        <v>86</v>
      </c>
      <c r="L7" s="5">
        <v>77</v>
      </c>
      <c r="M7">
        <f t="shared" si="1"/>
        <v>127.5</v>
      </c>
      <c r="N7">
        <f t="shared" si="2"/>
        <v>121.5</v>
      </c>
      <c r="O7">
        <f t="shared" si="3"/>
        <v>162</v>
      </c>
      <c r="P7">
        <f t="shared" si="4"/>
        <v>71.5</v>
      </c>
      <c r="Q7">
        <f t="shared" si="5"/>
        <v>36</v>
      </c>
      <c r="R7">
        <f t="shared" si="6"/>
        <v>1190.25</v>
      </c>
      <c r="S7">
        <f t="shared" si="7"/>
        <v>3136</v>
      </c>
      <c r="T7">
        <f t="shared" si="8"/>
        <v>1640.25</v>
      </c>
      <c r="U7">
        <f t="shared" si="9"/>
        <v>2500</v>
      </c>
      <c r="V7">
        <f t="shared" si="10"/>
        <v>8190.25</v>
      </c>
    </row>
    <row r="8" spans="1:22" x14ac:dyDescent="0.35">
      <c r="A8" t="s">
        <v>29</v>
      </c>
      <c r="B8" t="s">
        <v>977</v>
      </c>
      <c r="C8" t="s">
        <v>580</v>
      </c>
      <c r="D8" s="1" t="s">
        <v>556</v>
      </c>
      <c r="E8" s="1">
        <v>2025</v>
      </c>
      <c r="F8" s="1" t="s">
        <v>1103</v>
      </c>
      <c r="G8" s="4" t="s">
        <v>1102</v>
      </c>
      <c r="H8" s="4" t="s">
        <v>1101</v>
      </c>
      <c r="I8">
        <v>90</v>
      </c>
      <c r="J8">
        <v>85</v>
      </c>
      <c r="K8" s="5">
        <v>76</v>
      </c>
      <c r="L8" s="5">
        <v>80</v>
      </c>
      <c r="M8">
        <f t="shared" si="1"/>
        <v>127.5</v>
      </c>
      <c r="N8">
        <f t="shared" si="2"/>
        <v>61</v>
      </c>
      <c r="O8">
        <f t="shared" si="3"/>
        <v>27.5</v>
      </c>
      <c r="P8">
        <f t="shared" si="4"/>
        <v>127.5</v>
      </c>
      <c r="Q8">
        <f t="shared" si="5"/>
        <v>4422.25</v>
      </c>
      <c r="R8">
        <f t="shared" si="6"/>
        <v>10000</v>
      </c>
      <c r="S8">
        <f t="shared" si="7"/>
        <v>0</v>
      </c>
      <c r="T8">
        <f t="shared" si="8"/>
        <v>1122.25</v>
      </c>
      <c r="U8">
        <f t="shared" si="9"/>
        <v>4422.25</v>
      </c>
      <c r="V8">
        <f t="shared" si="10"/>
        <v>10000</v>
      </c>
    </row>
    <row r="9" spans="1:22" x14ac:dyDescent="0.35">
      <c r="A9" t="s">
        <v>284</v>
      </c>
      <c r="B9" t="s">
        <v>978</v>
      </c>
      <c r="C9" t="s">
        <v>580</v>
      </c>
      <c r="D9" s="1" t="s">
        <v>301</v>
      </c>
      <c r="E9" s="1">
        <v>2025</v>
      </c>
      <c r="I9">
        <v>80</v>
      </c>
      <c r="J9">
        <v>85</v>
      </c>
      <c r="K9" s="5">
        <v>74</v>
      </c>
      <c r="L9" s="5">
        <v>66</v>
      </c>
      <c r="M9">
        <f t="shared" si="1"/>
        <v>36.5</v>
      </c>
      <c r="N9">
        <f t="shared" si="2"/>
        <v>61</v>
      </c>
      <c r="O9">
        <f t="shared" si="3"/>
        <v>15.5</v>
      </c>
      <c r="P9">
        <f t="shared" si="4"/>
        <v>17.5</v>
      </c>
      <c r="Q9">
        <f t="shared" si="5"/>
        <v>600.25</v>
      </c>
      <c r="R9">
        <f t="shared" si="6"/>
        <v>441</v>
      </c>
      <c r="S9">
        <f t="shared" si="7"/>
        <v>361</v>
      </c>
      <c r="T9">
        <f t="shared" si="8"/>
        <v>2070.25</v>
      </c>
      <c r="U9">
        <f t="shared" si="9"/>
        <v>1892.25</v>
      </c>
      <c r="V9">
        <f t="shared" si="10"/>
        <v>4</v>
      </c>
    </row>
    <row r="10" spans="1:22" x14ac:dyDescent="0.35">
      <c r="A10" t="s">
        <v>24</v>
      </c>
      <c r="B10" t="s">
        <v>979</v>
      </c>
      <c r="C10" t="s">
        <v>580</v>
      </c>
      <c r="E10" s="1">
        <v>2025</v>
      </c>
      <c r="I10">
        <v>84</v>
      </c>
      <c r="J10">
        <v>85</v>
      </c>
      <c r="K10" s="5">
        <v>77</v>
      </c>
      <c r="L10" s="5">
        <v>67</v>
      </c>
      <c r="M10">
        <f t="shared" si="1"/>
        <v>69.5</v>
      </c>
      <c r="N10">
        <f t="shared" si="2"/>
        <v>61</v>
      </c>
      <c r="O10">
        <f t="shared" si="3"/>
        <v>42.5</v>
      </c>
      <c r="P10">
        <f t="shared" si="4"/>
        <v>21.5</v>
      </c>
      <c r="Q10">
        <f t="shared" si="5"/>
        <v>72.25</v>
      </c>
      <c r="R10">
        <f t="shared" si="6"/>
        <v>729</v>
      </c>
      <c r="S10">
        <f t="shared" si="7"/>
        <v>2304</v>
      </c>
      <c r="T10">
        <f t="shared" si="8"/>
        <v>342.25</v>
      </c>
      <c r="U10">
        <f t="shared" si="9"/>
        <v>1560.25</v>
      </c>
      <c r="V10">
        <f t="shared" si="10"/>
        <v>441</v>
      </c>
    </row>
    <row r="11" spans="1:22" x14ac:dyDescent="0.35">
      <c r="A11" t="s">
        <v>24</v>
      </c>
      <c r="B11" t="s">
        <v>979</v>
      </c>
      <c r="C11" t="s">
        <v>593</v>
      </c>
      <c r="E11" s="1">
        <v>2025</v>
      </c>
      <c r="I11">
        <v>84</v>
      </c>
      <c r="J11">
        <v>85</v>
      </c>
      <c r="K11" s="5">
        <v>77</v>
      </c>
      <c r="L11" s="5">
        <v>78</v>
      </c>
      <c r="M11">
        <f t="shared" si="1"/>
        <v>69.5</v>
      </c>
      <c r="N11">
        <f t="shared" si="2"/>
        <v>61</v>
      </c>
      <c r="O11">
        <f t="shared" si="3"/>
        <v>42.5</v>
      </c>
      <c r="P11">
        <f t="shared" si="4"/>
        <v>89.5</v>
      </c>
      <c r="Q11">
        <f t="shared" si="5"/>
        <v>72.25</v>
      </c>
      <c r="R11">
        <f t="shared" si="6"/>
        <v>729</v>
      </c>
      <c r="S11">
        <f t="shared" si="7"/>
        <v>400</v>
      </c>
      <c r="T11">
        <f t="shared" si="8"/>
        <v>342.25</v>
      </c>
      <c r="U11">
        <f t="shared" si="9"/>
        <v>812.25</v>
      </c>
      <c r="V11">
        <f t="shared" si="10"/>
        <v>2209</v>
      </c>
    </row>
    <row r="12" spans="1:22" x14ac:dyDescent="0.35">
      <c r="A12" t="s">
        <v>24</v>
      </c>
      <c r="B12" t="s">
        <v>980</v>
      </c>
      <c r="C12" t="s">
        <v>580</v>
      </c>
      <c r="E12" s="1">
        <v>2025</v>
      </c>
      <c r="I12">
        <v>83</v>
      </c>
      <c r="J12">
        <v>85</v>
      </c>
      <c r="K12" s="5">
        <v>64</v>
      </c>
      <c r="L12" s="5">
        <v>65</v>
      </c>
      <c r="M12">
        <f t="shared" si="1"/>
        <v>58.5</v>
      </c>
      <c r="N12">
        <f t="shared" si="2"/>
        <v>61</v>
      </c>
      <c r="O12">
        <f t="shared" si="3"/>
        <v>4.5</v>
      </c>
      <c r="P12">
        <f t="shared" si="4"/>
        <v>14.5</v>
      </c>
      <c r="Q12">
        <f t="shared" si="5"/>
        <v>6.25</v>
      </c>
      <c r="R12">
        <f t="shared" si="6"/>
        <v>2916</v>
      </c>
      <c r="S12">
        <f t="shared" si="7"/>
        <v>1936</v>
      </c>
      <c r="T12">
        <f t="shared" si="8"/>
        <v>3192.25</v>
      </c>
      <c r="U12">
        <f t="shared" si="9"/>
        <v>2162.25</v>
      </c>
      <c r="V12">
        <f t="shared" si="10"/>
        <v>100</v>
      </c>
    </row>
    <row r="13" spans="1:22" x14ac:dyDescent="0.35">
      <c r="A13" t="s">
        <v>740</v>
      </c>
      <c r="B13" t="s">
        <v>981</v>
      </c>
      <c r="C13" t="s">
        <v>580</v>
      </c>
      <c r="E13" s="1">
        <v>2025</v>
      </c>
      <c r="I13">
        <v>90</v>
      </c>
      <c r="J13">
        <v>89</v>
      </c>
      <c r="K13" s="5">
        <v>93</v>
      </c>
      <c r="L13" s="5">
        <v>83</v>
      </c>
      <c r="M13">
        <f t="shared" si="1"/>
        <v>127.5</v>
      </c>
      <c r="N13">
        <f t="shared" si="2"/>
        <v>147.5</v>
      </c>
      <c r="O13">
        <f t="shared" si="3"/>
        <v>168.5</v>
      </c>
      <c r="P13">
        <f t="shared" si="4"/>
        <v>148</v>
      </c>
      <c r="Q13">
        <f t="shared" si="5"/>
        <v>400</v>
      </c>
      <c r="R13">
        <f t="shared" si="6"/>
        <v>1681</v>
      </c>
      <c r="S13">
        <f t="shared" si="7"/>
        <v>420.25</v>
      </c>
      <c r="T13">
        <f t="shared" si="8"/>
        <v>441</v>
      </c>
      <c r="U13">
        <f t="shared" si="9"/>
        <v>0.25</v>
      </c>
      <c r="V13">
        <f t="shared" si="10"/>
        <v>420.25</v>
      </c>
    </row>
    <row r="14" spans="1:22" x14ac:dyDescent="0.35">
      <c r="A14" t="s">
        <v>81</v>
      </c>
      <c r="B14" t="s">
        <v>982</v>
      </c>
      <c r="C14" t="s">
        <v>580</v>
      </c>
      <c r="E14" s="1">
        <v>2025</v>
      </c>
      <c r="I14">
        <v>94</v>
      </c>
      <c r="J14">
        <v>89</v>
      </c>
      <c r="K14" s="5">
        <v>93</v>
      </c>
      <c r="L14" s="5">
        <v>85</v>
      </c>
      <c r="M14">
        <f t="shared" si="1"/>
        <v>163</v>
      </c>
      <c r="N14">
        <f t="shared" si="2"/>
        <v>147.5</v>
      </c>
      <c r="O14">
        <f t="shared" si="3"/>
        <v>168.5</v>
      </c>
      <c r="P14">
        <f t="shared" si="4"/>
        <v>156.5</v>
      </c>
      <c r="Q14">
        <f t="shared" si="5"/>
        <v>240.25</v>
      </c>
      <c r="R14">
        <f t="shared" si="6"/>
        <v>30.25</v>
      </c>
      <c r="S14">
        <f t="shared" si="7"/>
        <v>42.25</v>
      </c>
      <c r="T14">
        <f t="shared" si="8"/>
        <v>441</v>
      </c>
      <c r="U14">
        <f t="shared" si="9"/>
        <v>81</v>
      </c>
      <c r="V14">
        <f t="shared" si="10"/>
        <v>144</v>
      </c>
    </row>
    <row r="15" spans="1:22" x14ac:dyDescent="0.35">
      <c r="A15" t="s">
        <v>10</v>
      </c>
      <c r="B15" t="s">
        <v>983</v>
      </c>
      <c r="C15" t="s">
        <v>580</v>
      </c>
      <c r="E15" s="1">
        <v>2025</v>
      </c>
      <c r="I15">
        <v>87</v>
      </c>
      <c r="J15">
        <v>85</v>
      </c>
      <c r="K15" s="5">
        <v>85</v>
      </c>
      <c r="L15" s="5">
        <v>80</v>
      </c>
      <c r="M15">
        <f t="shared" si="1"/>
        <v>90</v>
      </c>
      <c r="N15">
        <f t="shared" si="2"/>
        <v>61</v>
      </c>
      <c r="O15">
        <f t="shared" si="3"/>
        <v>156</v>
      </c>
      <c r="P15">
        <f t="shared" si="4"/>
        <v>127.5</v>
      </c>
      <c r="Q15">
        <f t="shared" si="5"/>
        <v>841</v>
      </c>
      <c r="R15">
        <f t="shared" si="6"/>
        <v>4356</v>
      </c>
      <c r="S15">
        <f t="shared" si="7"/>
        <v>1406.25</v>
      </c>
      <c r="T15">
        <f t="shared" si="8"/>
        <v>9025</v>
      </c>
      <c r="U15">
        <f t="shared" si="9"/>
        <v>4422.25</v>
      </c>
      <c r="V15">
        <f t="shared" si="10"/>
        <v>812.25</v>
      </c>
    </row>
    <row r="16" spans="1:22" x14ac:dyDescent="0.35">
      <c r="A16" t="s">
        <v>170</v>
      </c>
      <c r="B16" t="s">
        <v>984</v>
      </c>
      <c r="C16" t="s">
        <v>580</v>
      </c>
      <c r="E16" s="1">
        <v>2025</v>
      </c>
      <c r="I16">
        <v>83</v>
      </c>
      <c r="J16">
        <v>86</v>
      </c>
      <c r="K16" s="5">
        <v>82</v>
      </c>
      <c r="L16" s="5">
        <v>70</v>
      </c>
      <c r="M16">
        <f t="shared" si="1"/>
        <v>58.5</v>
      </c>
      <c r="N16">
        <f t="shared" si="2"/>
        <v>96.5</v>
      </c>
      <c r="O16">
        <f t="shared" si="3"/>
        <v>120</v>
      </c>
      <c r="P16">
        <f t="shared" si="4"/>
        <v>33</v>
      </c>
      <c r="Q16">
        <f t="shared" si="5"/>
        <v>1444</v>
      </c>
      <c r="R16">
        <f t="shared" si="6"/>
        <v>3782.25</v>
      </c>
      <c r="S16">
        <f t="shared" si="7"/>
        <v>650.25</v>
      </c>
      <c r="T16">
        <f t="shared" si="8"/>
        <v>552.25</v>
      </c>
      <c r="U16">
        <f t="shared" si="9"/>
        <v>4032.25</v>
      </c>
      <c r="V16">
        <f t="shared" si="10"/>
        <v>7569</v>
      </c>
    </row>
    <row r="17" spans="1:22" x14ac:dyDescent="0.35">
      <c r="A17" t="s">
        <v>124</v>
      </c>
      <c r="B17" t="s">
        <v>985</v>
      </c>
      <c r="C17" t="s">
        <v>580</v>
      </c>
      <c r="E17" s="1">
        <v>2025</v>
      </c>
      <c r="I17">
        <v>91</v>
      </c>
      <c r="J17">
        <v>89</v>
      </c>
      <c r="K17" s="5">
        <v>81</v>
      </c>
      <c r="L17" s="5">
        <v>79</v>
      </c>
      <c r="M17">
        <f t="shared" si="1"/>
        <v>141</v>
      </c>
      <c r="N17">
        <f t="shared" si="2"/>
        <v>147.5</v>
      </c>
      <c r="O17">
        <f t="shared" si="3"/>
        <v>107.5</v>
      </c>
      <c r="P17">
        <f t="shared" si="4"/>
        <v>108.5</v>
      </c>
      <c r="Q17">
        <f t="shared" si="5"/>
        <v>42.25</v>
      </c>
      <c r="R17">
        <f t="shared" si="6"/>
        <v>1122.25</v>
      </c>
      <c r="S17">
        <f t="shared" si="7"/>
        <v>1056.25</v>
      </c>
      <c r="T17">
        <f t="shared" si="8"/>
        <v>1600</v>
      </c>
      <c r="U17">
        <f t="shared" si="9"/>
        <v>1521</v>
      </c>
      <c r="V17">
        <f t="shared" si="10"/>
        <v>1</v>
      </c>
    </row>
    <row r="18" spans="1:22" x14ac:dyDescent="0.35">
      <c r="A18" t="s">
        <v>106</v>
      </c>
      <c r="B18" t="s">
        <v>986</v>
      </c>
      <c r="C18" t="s">
        <v>580</v>
      </c>
      <c r="E18" s="1">
        <v>2025</v>
      </c>
      <c r="I18">
        <v>79</v>
      </c>
      <c r="J18">
        <v>82</v>
      </c>
      <c r="K18" s="5">
        <v>80</v>
      </c>
      <c r="L18" s="5">
        <v>73</v>
      </c>
      <c r="M18">
        <f t="shared" si="1"/>
        <v>28.5</v>
      </c>
      <c r="N18">
        <f t="shared" si="2"/>
        <v>24.5</v>
      </c>
      <c r="O18">
        <f t="shared" si="3"/>
        <v>89.5</v>
      </c>
      <c r="P18">
        <f t="shared" si="4"/>
        <v>44.5</v>
      </c>
      <c r="Q18">
        <f t="shared" si="5"/>
        <v>16</v>
      </c>
      <c r="R18">
        <f t="shared" si="6"/>
        <v>3721</v>
      </c>
      <c r="S18">
        <f t="shared" si="7"/>
        <v>256</v>
      </c>
      <c r="T18">
        <f t="shared" si="8"/>
        <v>4225</v>
      </c>
      <c r="U18">
        <f t="shared" si="9"/>
        <v>400</v>
      </c>
      <c r="V18">
        <f t="shared" si="10"/>
        <v>2025</v>
      </c>
    </row>
    <row r="19" spans="1:22" x14ac:dyDescent="0.35">
      <c r="A19" t="s">
        <v>45</v>
      </c>
      <c r="B19" t="s">
        <v>987</v>
      </c>
      <c r="C19" t="s">
        <v>580</v>
      </c>
      <c r="E19" s="1">
        <v>2025</v>
      </c>
      <c r="I19">
        <v>73</v>
      </c>
      <c r="J19">
        <v>72</v>
      </c>
      <c r="K19" s="5">
        <v>83</v>
      </c>
      <c r="L19" s="5">
        <v>68</v>
      </c>
      <c r="M19">
        <f t="shared" si="1"/>
        <v>8.5</v>
      </c>
      <c r="N19">
        <f t="shared" si="2"/>
        <v>3</v>
      </c>
      <c r="O19">
        <f t="shared" si="3"/>
        <v>132</v>
      </c>
      <c r="P19">
        <f t="shared" si="4"/>
        <v>25.5</v>
      </c>
      <c r="Q19">
        <f t="shared" si="5"/>
        <v>30.25</v>
      </c>
      <c r="R19">
        <f t="shared" si="6"/>
        <v>15252.25</v>
      </c>
      <c r="S19">
        <f t="shared" si="7"/>
        <v>289</v>
      </c>
      <c r="T19">
        <f t="shared" si="8"/>
        <v>16641</v>
      </c>
      <c r="U19">
        <f t="shared" si="9"/>
        <v>506.25</v>
      </c>
      <c r="V19">
        <f t="shared" si="10"/>
        <v>11342.25</v>
      </c>
    </row>
    <row r="20" spans="1:22" x14ac:dyDescent="0.35">
      <c r="A20" t="s">
        <v>45</v>
      </c>
      <c r="B20" t="s">
        <v>988</v>
      </c>
      <c r="C20" t="s">
        <v>580</v>
      </c>
      <c r="E20" s="1">
        <v>2025</v>
      </c>
      <c r="I20">
        <v>72</v>
      </c>
      <c r="J20">
        <v>84</v>
      </c>
      <c r="K20" s="5">
        <v>83</v>
      </c>
      <c r="L20" s="5">
        <v>72</v>
      </c>
      <c r="M20">
        <f t="shared" si="1"/>
        <v>6.5</v>
      </c>
      <c r="N20">
        <f t="shared" si="2"/>
        <v>33.5</v>
      </c>
      <c r="O20">
        <f t="shared" si="3"/>
        <v>132</v>
      </c>
      <c r="P20">
        <f t="shared" si="4"/>
        <v>38.5</v>
      </c>
      <c r="Q20">
        <f t="shared" si="5"/>
        <v>729</v>
      </c>
      <c r="R20">
        <f t="shared" si="6"/>
        <v>15750.25</v>
      </c>
      <c r="S20">
        <f t="shared" si="7"/>
        <v>1024</v>
      </c>
      <c r="T20">
        <f t="shared" si="8"/>
        <v>9702.25</v>
      </c>
      <c r="U20">
        <f t="shared" si="9"/>
        <v>25</v>
      </c>
      <c r="V20">
        <f t="shared" si="10"/>
        <v>8742.25</v>
      </c>
    </row>
    <row r="21" spans="1:22" x14ac:dyDescent="0.35">
      <c r="A21" t="s">
        <v>14</v>
      </c>
      <c r="B21" t="s">
        <v>989</v>
      </c>
      <c r="C21" t="s">
        <v>580</v>
      </c>
      <c r="E21" s="1">
        <v>2025</v>
      </c>
      <c r="I21">
        <v>91</v>
      </c>
      <c r="J21">
        <v>87</v>
      </c>
      <c r="K21" s="5">
        <v>87</v>
      </c>
      <c r="L21" s="5">
        <v>77</v>
      </c>
      <c r="M21">
        <f t="shared" si="1"/>
        <v>141</v>
      </c>
      <c r="N21">
        <f t="shared" si="2"/>
        <v>121.5</v>
      </c>
      <c r="O21">
        <f t="shared" si="3"/>
        <v>165.5</v>
      </c>
      <c r="P21">
        <f t="shared" si="4"/>
        <v>71.5</v>
      </c>
      <c r="Q21">
        <f t="shared" si="5"/>
        <v>380.25</v>
      </c>
      <c r="R21">
        <f t="shared" si="6"/>
        <v>600.25</v>
      </c>
      <c r="S21">
        <f t="shared" si="7"/>
        <v>4830.25</v>
      </c>
      <c r="T21">
        <f t="shared" si="8"/>
        <v>1936</v>
      </c>
      <c r="U21">
        <f t="shared" si="9"/>
        <v>2500</v>
      </c>
      <c r="V21">
        <f t="shared" si="10"/>
        <v>8836</v>
      </c>
    </row>
    <row r="22" spans="1:22" x14ac:dyDescent="0.35">
      <c r="A22" t="s">
        <v>32</v>
      </c>
      <c r="B22" t="s">
        <v>990</v>
      </c>
      <c r="C22" t="s">
        <v>580</v>
      </c>
      <c r="E22" s="1">
        <v>2025</v>
      </c>
      <c r="I22">
        <v>86</v>
      </c>
      <c r="J22">
        <v>81</v>
      </c>
      <c r="K22" s="5">
        <v>76</v>
      </c>
      <c r="L22" s="5">
        <v>74</v>
      </c>
      <c r="M22">
        <f t="shared" si="1"/>
        <v>83</v>
      </c>
      <c r="N22">
        <f t="shared" si="2"/>
        <v>18.5</v>
      </c>
      <c r="O22">
        <f t="shared" si="3"/>
        <v>27.5</v>
      </c>
      <c r="P22">
        <f t="shared" si="4"/>
        <v>48</v>
      </c>
      <c r="Q22">
        <f t="shared" si="5"/>
        <v>4160.25</v>
      </c>
      <c r="R22">
        <f t="shared" si="6"/>
        <v>3080.25</v>
      </c>
      <c r="S22">
        <f t="shared" si="7"/>
        <v>1225</v>
      </c>
      <c r="T22">
        <f t="shared" si="8"/>
        <v>81</v>
      </c>
      <c r="U22">
        <f t="shared" si="9"/>
        <v>870.25</v>
      </c>
      <c r="V22">
        <f t="shared" si="10"/>
        <v>420.25</v>
      </c>
    </row>
    <row r="23" spans="1:22" x14ac:dyDescent="0.35">
      <c r="A23" t="s">
        <v>37</v>
      </c>
      <c r="B23" t="s">
        <v>991</v>
      </c>
      <c r="C23" t="s">
        <v>580</v>
      </c>
      <c r="E23" s="1">
        <v>2025</v>
      </c>
      <c r="I23">
        <v>78</v>
      </c>
      <c r="J23">
        <v>86</v>
      </c>
      <c r="K23" s="5">
        <v>85</v>
      </c>
      <c r="L23" s="5">
        <v>80</v>
      </c>
      <c r="M23">
        <f t="shared" si="1"/>
        <v>24</v>
      </c>
      <c r="N23">
        <f t="shared" si="2"/>
        <v>96.5</v>
      </c>
      <c r="O23">
        <f t="shared" si="3"/>
        <v>156</v>
      </c>
      <c r="P23">
        <f t="shared" si="4"/>
        <v>127.5</v>
      </c>
      <c r="Q23">
        <f t="shared" si="5"/>
        <v>5256.25</v>
      </c>
      <c r="R23">
        <f t="shared" si="6"/>
        <v>17424</v>
      </c>
      <c r="S23">
        <f t="shared" si="7"/>
        <v>10712.25</v>
      </c>
      <c r="T23">
        <f t="shared" si="8"/>
        <v>3540.25</v>
      </c>
      <c r="U23">
        <f t="shared" si="9"/>
        <v>961</v>
      </c>
      <c r="V23">
        <f t="shared" si="10"/>
        <v>812.25</v>
      </c>
    </row>
    <row r="24" spans="1:22" x14ac:dyDescent="0.35">
      <c r="A24" t="s">
        <v>102</v>
      </c>
      <c r="B24" t="s">
        <v>992</v>
      </c>
      <c r="C24" t="s">
        <v>580</v>
      </c>
      <c r="E24" s="1">
        <v>2025</v>
      </c>
      <c r="I24">
        <v>92</v>
      </c>
      <c r="J24">
        <v>90</v>
      </c>
      <c r="K24" s="5">
        <v>84</v>
      </c>
      <c r="L24" s="5">
        <v>85</v>
      </c>
      <c r="M24">
        <f t="shared" si="1"/>
        <v>149.5</v>
      </c>
      <c r="N24">
        <f t="shared" si="2"/>
        <v>154.5</v>
      </c>
      <c r="O24">
        <f t="shared" si="3"/>
        <v>145.5</v>
      </c>
      <c r="P24">
        <f t="shared" si="4"/>
        <v>156.5</v>
      </c>
      <c r="Q24">
        <f t="shared" si="5"/>
        <v>25</v>
      </c>
      <c r="R24">
        <f t="shared" si="6"/>
        <v>16</v>
      </c>
      <c r="S24">
        <f t="shared" si="7"/>
        <v>49</v>
      </c>
      <c r="T24">
        <f t="shared" si="8"/>
        <v>81</v>
      </c>
      <c r="U24">
        <f t="shared" si="9"/>
        <v>4</v>
      </c>
      <c r="V24">
        <f t="shared" si="10"/>
        <v>121</v>
      </c>
    </row>
    <row r="25" spans="1:22" x14ac:dyDescent="0.35">
      <c r="A25" t="s">
        <v>958</v>
      </c>
      <c r="B25" t="s">
        <v>993</v>
      </c>
      <c r="C25" t="s">
        <v>580</v>
      </c>
      <c r="E25" s="1">
        <v>2025</v>
      </c>
      <c r="I25">
        <v>91</v>
      </c>
      <c r="J25">
        <v>86</v>
      </c>
      <c r="K25" s="5">
        <v>79</v>
      </c>
      <c r="L25" s="5">
        <v>77</v>
      </c>
      <c r="M25">
        <f t="shared" si="1"/>
        <v>141</v>
      </c>
      <c r="N25">
        <f t="shared" si="2"/>
        <v>96.5</v>
      </c>
      <c r="O25">
        <f t="shared" si="3"/>
        <v>70.5</v>
      </c>
      <c r="P25">
        <f t="shared" si="4"/>
        <v>71.5</v>
      </c>
      <c r="Q25">
        <f t="shared" si="5"/>
        <v>1980.25</v>
      </c>
      <c r="R25">
        <f t="shared" si="6"/>
        <v>4970.25</v>
      </c>
      <c r="S25">
        <f t="shared" si="7"/>
        <v>4830.25</v>
      </c>
      <c r="T25">
        <f t="shared" si="8"/>
        <v>676</v>
      </c>
      <c r="U25">
        <f t="shared" si="9"/>
        <v>625</v>
      </c>
      <c r="V25">
        <f t="shared" si="10"/>
        <v>1</v>
      </c>
    </row>
    <row r="26" spans="1:22" x14ac:dyDescent="0.35">
      <c r="A26" t="s">
        <v>958</v>
      </c>
      <c r="B26" t="s">
        <v>994</v>
      </c>
      <c r="C26" t="s">
        <v>580</v>
      </c>
      <c r="E26" s="1">
        <v>2025</v>
      </c>
      <c r="I26">
        <v>88</v>
      </c>
      <c r="J26">
        <v>86</v>
      </c>
      <c r="K26" s="5">
        <v>82</v>
      </c>
      <c r="L26" s="5">
        <v>77</v>
      </c>
      <c r="M26">
        <f t="shared" si="1"/>
        <v>99.5</v>
      </c>
      <c r="N26">
        <f t="shared" si="2"/>
        <v>96.5</v>
      </c>
      <c r="O26">
        <f t="shared" si="3"/>
        <v>120</v>
      </c>
      <c r="P26">
        <f t="shared" si="4"/>
        <v>71.5</v>
      </c>
      <c r="Q26">
        <f t="shared" si="5"/>
        <v>9</v>
      </c>
      <c r="R26">
        <f t="shared" si="6"/>
        <v>420.25</v>
      </c>
      <c r="S26">
        <f t="shared" si="7"/>
        <v>784</v>
      </c>
      <c r="T26">
        <f t="shared" si="8"/>
        <v>552.25</v>
      </c>
      <c r="U26">
        <f t="shared" si="9"/>
        <v>625</v>
      </c>
      <c r="V26">
        <f t="shared" si="10"/>
        <v>2352.25</v>
      </c>
    </row>
    <row r="27" spans="1:22" x14ac:dyDescent="0.35">
      <c r="A27" t="s">
        <v>959</v>
      </c>
      <c r="B27" t="s">
        <v>995</v>
      </c>
      <c r="C27" t="s">
        <v>580</v>
      </c>
      <c r="E27" s="1">
        <v>2025</v>
      </c>
      <c r="I27">
        <v>93</v>
      </c>
      <c r="J27">
        <v>85</v>
      </c>
      <c r="K27" s="5">
        <v>82</v>
      </c>
      <c r="L27" s="5">
        <v>83</v>
      </c>
      <c r="M27">
        <f t="shared" si="1"/>
        <v>157.5</v>
      </c>
      <c r="N27">
        <f t="shared" si="2"/>
        <v>61</v>
      </c>
      <c r="O27">
        <f t="shared" si="3"/>
        <v>120</v>
      </c>
      <c r="P27">
        <f t="shared" si="4"/>
        <v>148</v>
      </c>
      <c r="Q27">
        <f t="shared" si="5"/>
        <v>9312.25</v>
      </c>
      <c r="R27">
        <f t="shared" si="6"/>
        <v>1406.25</v>
      </c>
      <c r="S27">
        <f t="shared" si="7"/>
        <v>90.25</v>
      </c>
      <c r="T27">
        <f t="shared" si="8"/>
        <v>3481</v>
      </c>
      <c r="U27">
        <f t="shared" si="9"/>
        <v>7569</v>
      </c>
      <c r="V27">
        <f t="shared" si="10"/>
        <v>784</v>
      </c>
    </row>
    <row r="28" spans="1:22" x14ac:dyDescent="0.35">
      <c r="A28" t="s">
        <v>24</v>
      </c>
      <c r="B28" t="s">
        <v>996</v>
      </c>
      <c r="C28" t="s">
        <v>580</v>
      </c>
      <c r="E28" s="1">
        <v>2025</v>
      </c>
      <c r="I28">
        <v>83</v>
      </c>
      <c r="J28">
        <v>85</v>
      </c>
      <c r="K28" s="5">
        <v>74</v>
      </c>
      <c r="L28" s="5">
        <v>80</v>
      </c>
      <c r="M28">
        <f t="shared" si="1"/>
        <v>58.5</v>
      </c>
      <c r="N28">
        <f t="shared" si="2"/>
        <v>61</v>
      </c>
      <c r="O28">
        <f t="shared" si="3"/>
        <v>15.5</v>
      </c>
      <c r="P28">
        <f t="shared" si="4"/>
        <v>127.5</v>
      </c>
      <c r="Q28">
        <f t="shared" si="5"/>
        <v>6.25</v>
      </c>
      <c r="R28">
        <f t="shared" si="6"/>
        <v>1849</v>
      </c>
      <c r="S28">
        <f t="shared" si="7"/>
        <v>4761</v>
      </c>
      <c r="T28">
        <f t="shared" si="8"/>
        <v>2070.25</v>
      </c>
      <c r="U28">
        <f t="shared" si="9"/>
        <v>4422.25</v>
      </c>
      <c r="V28">
        <f t="shared" si="10"/>
        <v>12544</v>
      </c>
    </row>
    <row r="29" spans="1:22" x14ac:dyDescent="0.35">
      <c r="A29" t="s">
        <v>563</v>
      </c>
      <c r="B29" t="s">
        <v>997</v>
      </c>
      <c r="C29" t="s">
        <v>580</v>
      </c>
      <c r="E29" s="1">
        <v>2025</v>
      </c>
      <c r="I29">
        <v>93</v>
      </c>
      <c r="J29">
        <v>93</v>
      </c>
      <c r="K29" s="5">
        <v>84</v>
      </c>
      <c r="L29" s="5">
        <v>85</v>
      </c>
      <c r="M29">
        <f t="shared" si="1"/>
        <v>157.5</v>
      </c>
      <c r="N29">
        <f t="shared" si="2"/>
        <v>165</v>
      </c>
      <c r="O29">
        <f t="shared" si="3"/>
        <v>145.5</v>
      </c>
      <c r="P29">
        <f t="shared" si="4"/>
        <v>156.5</v>
      </c>
      <c r="Q29">
        <f t="shared" si="5"/>
        <v>56.25</v>
      </c>
      <c r="R29">
        <f t="shared" si="6"/>
        <v>144</v>
      </c>
      <c r="S29">
        <f t="shared" si="7"/>
        <v>1</v>
      </c>
      <c r="T29">
        <f t="shared" si="8"/>
        <v>380.25</v>
      </c>
      <c r="U29">
        <f t="shared" si="9"/>
        <v>72.25</v>
      </c>
      <c r="V29">
        <f t="shared" si="10"/>
        <v>121</v>
      </c>
    </row>
    <row r="30" spans="1:22" x14ac:dyDescent="0.35">
      <c r="A30" t="s">
        <v>960</v>
      </c>
      <c r="B30" t="s">
        <v>998</v>
      </c>
      <c r="C30" t="s">
        <v>580</v>
      </c>
      <c r="E30" s="1">
        <v>2025</v>
      </c>
      <c r="I30">
        <v>83</v>
      </c>
      <c r="J30">
        <v>93</v>
      </c>
      <c r="K30" s="5">
        <v>80</v>
      </c>
      <c r="L30" s="5">
        <v>85</v>
      </c>
      <c r="M30">
        <f t="shared" si="1"/>
        <v>58.5</v>
      </c>
      <c r="N30">
        <f t="shared" si="2"/>
        <v>165</v>
      </c>
      <c r="O30">
        <f t="shared" si="3"/>
        <v>89.5</v>
      </c>
      <c r="P30">
        <f t="shared" si="4"/>
        <v>156.5</v>
      </c>
      <c r="Q30">
        <f t="shared" si="5"/>
        <v>11342.25</v>
      </c>
      <c r="R30">
        <f t="shared" si="6"/>
        <v>961</v>
      </c>
      <c r="S30">
        <f t="shared" si="7"/>
        <v>9604</v>
      </c>
      <c r="T30">
        <f t="shared" si="8"/>
        <v>5700.25</v>
      </c>
      <c r="U30">
        <f t="shared" si="9"/>
        <v>72.25</v>
      </c>
      <c r="V30">
        <f t="shared" si="10"/>
        <v>4489</v>
      </c>
    </row>
    <row r="31" spans="1:22" x14ac:dyDescent="0.35">
      <c r="A31" t="s">
        <v>81</v>
      </c>
      <c r="B31" t="s">
        <v>999</v>
      </c>
      <c r="C31" t="s">
        <v>580</v>
      </c>
      <c r="E31" s="1">
        <v>2025</v>
      </c>
      <c r="I31">
        <v>93</v>
      </c>
      <c r="J31">
        <v>89</v>
      </c>
      <c r="K31" s="5">
        <v>87</v>
      </c>
      <c r="L31" s="5">
        <v>83</v>
      </c>
      <c r="M31">
        <f t="shared" si="1"/>
        <v>157.5</v>
      </c>
      <c r="N31">
        <f t="shared" si="2"/>
        <v>147.5</v>
      </c>
      <c r="O31">
        <f t="shared" si="3"/>
        <v>165.5</v>
      </c>
      <c r="P31">
        <f t="shared" si="4"/>
        <v>148</v>
      </c>
      <c r="Q31">
        <f t="shared" si="5"/>
        <v>100</v>
      </c>
      <c r="R31">
        <f t="shared" si="6"/>
        <v>64</v>
      </c>
      <c r="S31">
        <f t="shared" si="7"/>
        <v>90.25</v>
      </c>
      <c r="T31">
        <f t="shared" si="8"/>
        <v>324</v>
      </c>
      <c r="U31">
        <f t="shared" si="9"/>
        <v>0.25</v>
      </c>
      <c r="V31">
        <f t="shared" si="10"/>
        <v>306.25</v>
      </c>
    </row>
    <row r="32" spans="1:22" x14ac:dyDescent="0.35">
      <c r="A32" t="s">
        <v>10</v>
      </c>
      <c r="B32" t="s">
        <v>1000</v>
      </c>
      <c r="C32" t="s">
        <v>580</v>
      </c>
      <c r="E32" s="1">
        <v>2025</v>
      </c>
      <c r="I32">
        <v>84</v>
      </c>
      <c r="J32">
        <v>85</v>
      </c>
      <c r="K32" s="5">
        <v>74</v>
      </c>
      <c r="L32" s="5">
        <v>77</v>
      </c>
      <c r="M32">
        <f t="shared" si="1"/>
        <v>69.5</v>
      </c>
      <c r="N32">
        <f t="shared" si="2"/>
        <v>61</v>
      </c>
      <c r="O32">
        <f t="shared" si="3"/>
        <v>15.5</v>
      </c>
      <c r="P32">
        <f t="shared" si="4"/>
        <v>71.5</v>
      </c>
      <c r="Q32">
        <f t="shared" si="5"/>
        <v>72.25</v>
      </c>
      <c r="R32">
        <f t="shared" si="6"/>
        <v>2916</v>
      </c>
      <c r="S32">
        <f t="shared" si="7"/>
        <v>4</v>
      </c>
      <c r="T32">
        <f t="shared" si="8"/>
        <v>2070.25</v>
      </c>
      <c r="U32">
        <f t="shared" si="9"/>
        <v>110.25</v>
      </c>
      <c r="V32">
        <f t="shared" si="10"/>
        <v>3136</v>
      </c>
    </row>
    <row r="33" spans="1:22" x14ac:dyDescent="0.35">
      <c r="A33" t="s">
        <v>62</v>
      </c>
      <c r="B33" t="s">
        <v>1001</v>
      </c>
      <c r="C33" t="s">
        <v>580</v>
      </c>
      <c r="E33" s="1">
        <v>2025</v>
      </c>
      <c r="I33">
        <v>78</v>
      </c>
      <c r="J33">
        <v>85</v>
      </c>
      <c r="K33" s="5">
        <v>65</v>
      </c>
      <c r="L33" s="5">
        <v>62</v>
      </c>
      <c r="M33">
        <f t="shared" si="1"/>
        <v>24</v>
      </c>
      <c r="N33">
        <f t="shared" si="2"/>
        <v>61</v>
      </c>
      <c r="O33">
        <f t="shared" si="3"/>
        <v>6</v>
      </c>
      <c r="P33">
        <f t="shared" si="4"/>
        <v>10</v>
      </c>
      <c r="Q33">
        <f t="shared" si="5"/>
        <v>1369</v>
      </c>
      <c r="R33">
        <f t="shared" si="6"/>
        <v>324</v>
      </c>
      <c r="S33">
        <f t="shared" si="7"/>
        <v>196</v>
      </c>
      <c r="T33">
        <f t="shared" si="8"/>
        <v>3025</v>
      </c>
      <c r="U33">
        <f t="shared" si="9"/>
        <v>2601</v>
      </c>
      <c r="V33">
        <f t="shared" si="10"/>
        <v>16</v>
      </c>
    </row>
    <row r="34" spans="1:22" x14ac:dyDescent="0.35">
      <c r="A34" t="s">
        <v>767</v>
      </c>
      <c r="B34" t="s">
        <v>1002</v>
      </c>
      <c r="C34" t="s">
        <v>580</v>
      </c>
      <c r="E34" s="1">
        <v>2025</v>
      </c>
      <c r="I34">
        <v>88</v>
      </c>
      <c r="J34">
        <v>86</v>
      </c>
      <c r="K34" s="5">
        <v>81</v>
      </c>
      <c r="L34" s="5">
        <v>77</v>
      </c>
      <c r="M34">
        <f t="shared" si="1"/>
        <v>99.5</v>
      </c>
      <c r="N34">
        <f t="shared" si="2"/>
        <v>96.5</v>
      </c>
      <c r="O34">
        <f t="shared" si="3"/>
        <v>107.5</v>
      </c>
      <c r="P34">
        <f t="shared" si="4"/>
        <v>71.5</v>
      </c>
      <c r="Q34">
        <f t="shared" si="5"/>
        <v>9</v>
      </c>
      <c r="R34">
        <f t="shared" si="6"/>
        <v>64</v>
      </c>
      <c r="S34">
        <f t="shared" si="7"/>
        <v>784</v>
      </c>
      <c r="T34">
        <f t="shared" si="8"/>
        <v>121</v>
      </c>
      <c r="U34">
        <f t="shared" si="9"/>
        <v>625</v>
      </c>
      <c r="V34">
        <f t="shared" si="10"/>
        <v>1296</v>
      </c>
    </row>
    <row r="35" spans="1:22" x14ac:dyDescent="0.35">
      <c r="A35" t="s">
        <v>363</v>
      </c>
      <c r="B35" t="s">
        <v>1003</v>
      </c>
      <c r="C35" t="s">
        <v>580</v>
      </c>
      <c r="E35" s="1">
        <v>2025</v>
      </c>
      <c r="I35">
        <v>88</v>
      </c>
      <c r="J35">
        <v>85</v>
      </c>
      <c r="K35" s="5">
        <v>80</v>
      </c>
      <c r="L35" s="5">
        <v>79</v>
      </c>
      <c r="M35">
        <f t="shared" si="1"/>
        <v>99.5</v>
      </c>
      <c r="N35">
        <f t="shared" si="2"/>
        <v>61</v>
      </c>
      <c r="O35">
        <f t="shared" si="3"/>
        <v>89.5</v>
      </c>
      <c r="P35">
        <f t="shared" si="4"/>
        <v>108.5</v>
      </c>
      <c r="Q35">
        <f t="shared" si="5"/>
        <v>1482.25</v>
      </c>
      <c r="R35">
        <f t="shared" si="6"/>
        <v>100</v>
      </c>
      <c r="S35">
        <f t="shared" si="7"/>
        <v>81</v>
      </c>
      <c r="T35">
        <f t="shared" si="8"/>
        <v>812.25</v>
      </c>
      <c r="U35">
        <f t="shared" si="9"/>
        <v>2256.25</v>
      </c>
      <c r="V35">
        <f t="shared" si="10"/>
        <v>361</v>
      </c>
    </row>
    <row r="36" spans="1:22" x14ac:dyDescent="0.35">
      <c r="A36" t="s">
        <v>91</v>
      </c>
      <c r="B36" t="s">
        <v>1004</v>
      </c>
      <c r="C36" t="s">
        <v>580</v>
      </c>
      <c r="E36" s="1">
        <v>2025</v>
      </c>
      <c r="I36">
        <v>91</v>
      </c>
      <c r="J36">
        <v>93</v>
      </c>
      <c r="K36" s="5">
        <v>86</v>
      </c>
      <c r="L36" s="5">
        <v>92</v>
      </c>
      <c r="M36">
        <f t="shared" si="1"/>
        <v>141</v>
      </c>
      <c r="N36">
        <f t="shared" si="2"/>
        <v>165</v>
      </c>
      <c r="O36">
        <f t="shared" si="3"/>
        <v>162</v>
      </c>
      <c r="P36">
        <f t="shared" si="4"/>
        <v>168.5</v>
      </c>
      <c r="Q36">
        <f t="shared" si="5"/>
        <v>576</v>
      </c>
      <c r="R36">
        <f t="shared" si="6"/>
        <v>441</v>
      </c>
      <c r="S36">
        <f t="shared" si="7"/>
        <v>756.25</v>
      </c>
      <c r="T36">
        <f t="shared" si="8"/>
        <v>9</v>
      </c>
      <c r="U36">
        <f t="shared" si="9"/>
        <v>12.25</v>
      </c>
      <c r="V36">
        <f t="shared" si="10"/>
        <v>42.25</v>
      </c>
    </row>
    <row r="37" spans="1:22" x14ac:dyDescent="0.35">
      <c r="A37" t="s">
        <v>45</v>
      </c>
      <c r="B37" t="s">
        <v>1005</v>
      </c>
      <c r="C37" t="s">
        <v>580</v>
      </c>
      <c r="E37" s="1">
        <v>2025</v>
      </c>
      <c r="I37">
        <v>88</v>
      </c>
      <c r="J37">
        <v>85</v>
      </c>
      <c r="K37" s="5">
        <v>80</v>
      </c>
      <c r="L37" s="5">
        <v>79</v>
      </c>
      <c r="M37">
        <f t="shared" si="1"/>
        <v>99.5</v>
      </c>
      <c r="N37">
        <f t="shared" si="2"/>
        <v>61</v>
      </c>
      <c r="O37">
        <f t="shared" si="3"/>
        <v>89.5</v>
      </c>
      <c r="P37">
        <f t="shared" si="4"/>
        <v>108.5</v>
      </c>
      <c r="Q37">
        <f t="shared" si="5"/>
        <v>1482.25</v>
      </c>
      <c r="R37">
        <f t="shared" si="6"/>
        <v>100</v>
      </c>
      <c r="S37">
        <f t="shared" si="7"/>
        <v>81</v>
      </c>
      <c r="T37">
        <f t="shared" si="8"/>
        <v>812.25</v>
      </c>
      <c r="U37">
        <f t="shared" si="9"/>
        <v>2256.25</v>
      </c>
      <c r="V37">
        <f t="shared" si="10"/>
        <v>361</v>
      </c>
    </row>
    <row r="38" spans="1:22" x14ac:dyDescent="0.35">
      <c r="A38" t="s">
        <v>45</v>
      </c>
      <c r="B38" t="s">
        <v>1006</v>
      </c>
      <c r="C38" t="s">
        <v>580</v>
      </c>
      <c r="E38" s="1">
        <v>2025</v>
      </c>
      <c r="I38">
        <v>79</v>
      </c>
      <c r="J38">
        <v>85</v>
      </c>
      <c r="K38" s="5">
        <v>83</v>
      </c>
      <c r="L38" s="5">
        <v>76</v>
      </c>
      <c r="M38">
        <f t="shared" si="1"/>
        <v>28.5</v>
      </c>
      <c r="N38">
        <f t="shared" si="2"/>
        <v>61</v>
      </c>
      <c r="O38">
        <f t="shared" si="3"/>
        <v>132</v>
      </c>
      <c r="P38">
        <f t="shared" si="4"/>
        <v>58</v>
      </c>
      <c r="Q38">
        <f t="shared" si="5"/>
        <v>1056.25</v>
      </c>
      <c r="R38">
        <f t="shared" si="6"/>
        <v>10712.25</v>
      </c>
      <c r="S38">
        <f t="shared" si="7"/>
        <v>870.25</v>
      </c>
      <c r="T38">
        <f t="shared" si="8"/>
        <v>5041</v>
      </c>
      <c r="U38">
        <f t="shared" si="9"/>
        <v>9</v>
      </c>
      <c r="V38">
        <f t="shared" si="10"/>
        <v>5476</v>
      </c>
    </row>
    <row r="39" spans="1:22" x14ac:dyDescent="0.35">
      <c r="A39" t="s">
        <v>96</v>
      </c>
      <c r="B39" t="s">
        <v>1007</v>
      </c>
      <c r="C39" t="s">
        <v>580</v>
      </c>
      <c r="E39" s="1">
        <v>2025</v>
      </c>
      <c r="I39">
        <v>92</v>
      </c>
      <c r="J39">
        <v>93</v>
      </c>
      <c r="K39" s="5">
        <v>82</v>
      </c>
      <c r="L39" s="5">
        <v>86</v>
      </c>
      <c r="M39">
        <f t="shared" si="1"/>
        <v>149.5</v>
      </c>
      <c r="N39">
        <f t="shared" si="2"/>
        <v>165</v>
      </c>
      <c r="O39">
        <f t="shared" si="3"/>
        <v>120</v>
      </c>
      <c r="P39">
        <f t="shared" si="4"/>
        <v>160.5</v>
      </c>
      <c r="Q39">
        <f t="shared" si="5"/>
        <v>240.25</v>
      </c>
      <c r="R39">
        <f t="shared" si="6"/>
        <v>870.25</v>
      </c>
      <c r="S39">
        <f t="shared" si="7"/>
        <v>121</v>
      </c>
      <c r="T39">
        <f t="shared" si="8"/>
        <v>2025</v>
      </c>
      <c r="U39">
        <f t="shared" si="9"/>
        <v>20.25</v>
      </c>
      <c r="V39">
        <f t="shared" si="10"/>
        <v>1640.25</v>
      </c>
    </row>
    <row r="40" spans="1:22" x14ac:dyDescent="0.35">
      <c r="A40" t="s">
        <v>14</v>
      </c>
      <c r="B40" t="s">
        <v>1008</v>
      </c>
      <c r="C40" t="s">
        <v>580</v>
      </c>
      <c r="E40" s="1">
        <v>2025</v>
      </c>
      <c r="I40">
        <v>72</v>
      </c>
      <c r="J40">
        <v>80</v>
      </c>
      <c r="K40" s="5">
        <v>80</v>
      </c>
      <c r="L40" s="5">
        <v>71</v>
      </c>
      <c r="M40">
        <f t="shared" si="1"/>
        <v>6.5</v>
      </c>
      <c r="N40">
        <f t="shared" si="2"/>
        <v>11.5</v>
      </c>
      <c r="O40">
        <f t="shared" si="3"/>
        <v>89.5</v>
      </c>
      <c r="P40">
        <f t="shared" si="4"/>
        <v>34</v>
      </c>
      <c r="Q40">
        <f t="shared" si="5"/>
        <v>25</v>
      </c>
      <c r="R40">
        <f t="shared" si="6"/>
        <v>6889</v>
      </c>
      <c r="S40">
        <f t="shared" si="7"/>
        <v>756.25</v>
      </c>
      <c r="T40">
        <f t="shared" si="8"/>
        <v>6084</v>
      </c>
      <c r="U40">
        <f t="shared" si="9"/>
        <v>506.25</v>
      </c>
      <c r="V40">
        <f t="shared" si="10"/>
        <v>3080.25</v>
      </c>
    </row>
    <row r="41" spans="1:22" x14ac:dyDescent="0.35">
      <c r="A41" t="s">
        <v>14</v>
      </c>
      <c r="B41" t="s">
        <v>1009</v>
      </c>
      <c r="C41" t="s">
        <v>580</v>
      </c>
      <c r="E41" s="1">
        <v>2025</v>
      </c>
      <c r="I41">
        <v>86</v>
      </c>
      <c r="J41">
        <v>87</v>
      </c>
      <c r="K41" s="5">
        <v>78</v>
      </c>
      <c r="L41" s="5">
        <v>76</v>
      </c>
      <c r="M41">
        <f t="shared" si="1"/>
        <v>83</v>
      </c>
      <c r="N41">
        <f t="shared" si="2"/>
        <v>121.5</v>
      </c>
      <c r="O41">
        <f t="shared" si="3"/>
        <v>56</v>
      </c>
      <c r="P41">
        <f t="shared" si="4"/>
        <v>58</v>
      </c>
      <c r="Q41">
        <f t="shared" si="5"/>
        <v>1482.25</v>
      </c>
      <c r="R41">
        <f t="shared" si="6"/>
        <v>729</v>
      </c>
      <c r="S41">
        <f t="shared" si="7"/>
        <v>625</v>
      </c>
      <c r="T41">
        <f t="shared" si="8"/>
        <v>4290.25</v>
      </c>
      <c r="U41">
        <f t="shared" si="9"/>
        <v>4032.25</v>
      </c>
      <c r="V41">
        <f t="shared" si="10"/>
        <v>4</v>
      </c>
    </row>
    <row r="42" spans="1:22" x14ac:dyDescent="0.35">
      <c r="A42" t="s">
        <v>14</v>
      </c>
      <c r="B42" s="2" t="s">
        <v>1010</v>
      </c>
      <c r="C42" t="s">
        <v>580</v>
      </c>
      <c r="E42" s="1">
        <v>2025</v>
      </c>
      <c r="I42">
        <v>77</v>
      </c>
      <c r="J42">
        <v>87</v>
      </c>
      <c r="K42" s="5">
        <v>78</v>
      </c>
      <c r="L42" s="5">
        <v>75</v>
      </c>
      <c r="M42">
        <f t="shared" si="1"/>
        <v>21</v>
      </c>
      <c r="N42">
        <f t="shared" si="2"/>
        <v>121.5</v>
      </c>
      <c r="O42">
        <f t="shared" si="3"/>
        <v>56</v>
      </c>
      <c r="P42">
        <f t="shared" si="4"/>
        <v>51</v>
      </c>
      <c r="Q42">
        <f t="shared" si="5"/>
        <v>10100.25</v>
      </c>
      <c r="R42">
        <f t="shared" si="6"/>
        <v>1225</v>
      </c>
      <c r="S42">
        <f t="shared" si="7"/>
        <v>900</v>
      </c>
      <c r="T42">
        <f t="shared" si="8"/>
        <v>4290.25</v>
      </c>
      <c r="U42">
        <f t="shared" si="9"/>
        <v>4970.25</v>
      </c>
      <c r="V42">
        <f t="shared" si="10"/>
        <v>25</v>
      </c>
    </row>
    <row r="43" spans="1:22" x14ac:dyDescent="0.35">
      <c r="A43" t="s">
        <v>591</v>
      </c>
      <c r="B43" t="s">
        <v>1011</v>
      </c>
      <c r="C43" t="s">
        <v>580</v>
      </c>
      <c r="E43" s="1">
        <v>2025</v>
      </c>
      <c r="I43">
        <v>90</v>
      </c>
      <c r="J43">
        <v>87</v>
      </c>
      <c r="K43" s="5">
        <v>77</v>
      </c>
      <c r="L43" s="5">
        <v>78</v>
      </c>
      <c r="M43">
        <f t="shared" si="1"/>
        <v>127.5</v>
      </c>
      <c r="N43">
        <f t="shared" si="2"/>
        <v>121.5</v>
      </c>
      <c r="O43">
        <f t="shared" si="3"/>
        <v>42.5</v>
      </c>
      <c r="P43">
        <f t="shared" si="4"/>
        <v>89.5</v>
      </c>
      <c r="Q43">
        <f t="shared" si="5"/>
        <v>36</v>
      </c>
      <c r="R43">
        <f t="shared" si="6"/>
        <v>7225</v>
      </c>
      <c r="S43">
        <f t="shared" si="7"/>
        <v>1444</v>
      </c>
      <c r="T43">
        <f t="shared" si="8"/>
        <v>6241</v>
      </c>
      <c r="U43">
        <f t="shared" si="9"/>
        <v>1024</v>
      </c>
      <c r="V43">
        <f t="shared" si="10"/>
        <v>2209</v>
      </c>
    </row>
    <row r="44" spans="1:22" x14ac:dyDescent="0.35">
      <c r="A44" t="s">
        <v>591</v>
      </c>
      <c r="B44" t="s">
        <v>1012</v>
      </c>
      <c r="C44" t="s">
        <v>580</v>
      </c>
      <c r="E44" s="1">
        <v>2025</v>
      </c>
      <c r="I44">
        <v>90</v>
      </c>
      <c r="J44">
        <v>87</v>
      </c>
      <c r="K44" s="5">
        <v>77</v>
      </c>
      <c r="L44" s="5">
        <v>78</v>
      </c>
      <c r="M44">
        <f t="shared" si="1"/>
        <v>127.5</v>
      </c>
      <c r="N44">
        <f t="shared" si="2"/>
        <v>121.5</v>
      </c>
      <c r="O44">
        <f t="shared" si="3"/>
        <v>42.5</v>
      </c>
      <c r="P44">
        <f t="shared" si="4"/>
        <v>89.5</v>
      </c>
      <c r="Q44">
        <f t="shared" si="5"/>
        <v>36</v>
      </c>
      <c r="R44">
        <f t="shared" si="6"/>
        <v>7225</v>
      </c>
      <c r="S44">
        <f t="shared" si="7"/>
        <v>1444</v>
      </c>
      <c r="T44">
        <f t="shared" si="8"/>
        <v>6241</v>
      </c>
      <c r="U44">
        <f t="shared" si="9"/>
        <v>1024</v>
      </c>
      <c r="V44">
        <f t="shared" si="10"/>
        <v>2209</v>
      </c>
    </row>
    <row r="45" spans="1:22" x14ac:dyDescent="0.35">
      <c r="A45" t="s">
        <v>32</v>
      </c>
      <c r="B45" t="s">
        <v>1013</v>
      </c>
      <c r="C45" t="s">
        <v>580</v>
      </c>
      <c r="E45" s="1">
        <v>2025</v>
      </c>
      <c r="I45">
        <v>87</v>
      </c>
      <c r="J45">
        <v>86</v>
      </c>
      <c r="K45" s="5">
        <v>80</v>
      </c>
      <c r="L45" s="5">
        <v>78</v>
      </c>
      <c r="M45">
        <f t="shared" si="1"/>
        <v>90</v>
      </c>
      <c r="N45">
        <f t="shared" si="2"/>
        <v>96.5</v>
      </c>
      <c r="O45">
        <f t="shared" si="3"/>
        <v>89.5</v>
      </c>
      <c r="P45">
        <f t="shared" si="4"/>
        <v>89.5</v>
      </c>
      <c r="Q45">
        <f t="shared" si="5"/>
        <v>42.25</v>
      </c>
      <c r="R45">
        <f t="shared" si="6"/>
        <v>0.25</v>
      </c>
      <c r="S45">
        <f t="shared" si="7"/>
        <v>0.25</v>
      </c>
      <c r="T45">
        <f t="shared" si="8"/>
        <v>49</v>
      </c>
      <c r="U45">
        <f t="shared" si="9"/>
        <v>49</v>
      </c>
      <c r="V45">
        <f t="shared" si="10"/>
        <v>0</v>
      </c>
    </row>
    <row r="46" spans="1:22" x14ac:dyDescent="0.35">
      <c r="A46" t="s">
        <v>37</v>
      </c>
      <c r="B46" t="s">
        <v>1014</v>
      </c>
      <c r="C46" t="s">
        <v>580</v>
      </c>
      <c r="E46" s="1">
        <v>2025</v>
      </c>
      <c r="I46">
        <v>88</v>
      </c>
      <c r="J46">
        <v>84</v>
      </c>
      <c r="K46" s="5">
        <v>77</v>
      </c>
      <c r="L46" s="5">
        <v>80</v>
      </c>
      <c r="M46">
        <f t="shared" si="1"/>
        <v>99.5</v>
      </c>
      <c r="N46">
        <f t="shared" si="2"/>
        <v>33.5</v>
      </c>
      <c r="O46">
        <f t="shared" si="3"/>
        <v>42.5</v>
      </c>
      <c r="P46">
        <f t="shared" si="4"/>
        <v>127.5</v>
      </c>
      <c r="Q46">
        <f t="shared" si="5"/>
        <v>4356</v>
      </c>
      <c r="R46">
        <f t="shared" si="6"/>
        <v>3249</v>
      </c>
      <c r="S46">
        <f t="shared" si="7"/>
        <v>784</v>
      </c>
      <c r="T46">
        <f t="shared" si="8"/>
        <v>81</v>
      </c>
      <c r="U46">
        <f t="shared" si="9"/>
        <v>8836</v>
      </c>
      <c r="V46">
        <f t="shared" si="10"/>
        <v>7225</v>
      </c>
    </row>
    <row r="47" spans="1:22" x14ac:dyDescent="0.35">
      <c r="A47" t="s">
        <v>961</v>
      </c>
      <c r="B47" t="s">
        <v>1015</v>
      </c>
      <c r="C47" t="s">
        <v>580</v>
      </c>
      <c r="E47" s="1">
        <v>2025</v>
      </c>
      <c r="I47">
        <v>83</v>
      </c>
      <c r="J47">
        <v>81</v>
      </c>
      <c r="K47" s="5">
        <v>76</v>
      </c>
      <c r="L47" s="5">
        <v>74</v>
      </c>
      <c r="M47">
        <f t="shared" si="1"/>
        <v>58.5</v>
      </c>
      <c r="N47">
        <f t="shared" si="2"/>
        <v>18.5</v>
      </c>
      <c r="O47">
        <f t="shared" si="3"/>
        <v>27.5</v>
      </c>
      <c r="P47">
        <f t="shared" si="4"/>
        <v>48</v>
      </c>
      <c r="Q47">
        <f t="shared" si="5"/>
        <v>1600</v>
      </c>
      <c r="R47">
        <f t="shared" si="6"/>
        <v>961</v>
      </c>
      <c r="S47">
        <f t="shared" si="7"/>
        <v>110.25</v>
      </c>
      <c r="T47">
        <f t="shared" si="8"/>
        <v>81</v>
      </c>
      <c r="U47">
        <f t="shared" si="9"/>
        <v>870.25</v>
      </c>
      <c r="V47">
        <f t="shared" si="10"/>
        <v>420.25</v>
      </c>
    </row>
    <row r="48" spans="1:22" x14ac:dyDescent="0.35">
      <c r="A48" t="s">
        <v>743</v>
      </c>
      <c r="B48" t="s">
        <v>1016</v>
      </c>
      <c r="C48" t="s">
        <v>580</v>
      </c>
      <c r="E48" s="1">
        <v>2025</v>
      </c>
      <c r="I48">
        <v>82</v>
      </c>
      <c r="J48">
        <v>85</v>
      </c>
      <c r="K48" s="5">
        <v>80</v>
      </c>
      <c r="L48" s="5">
        <v>78</v>
      </c>
      <c r="M48">
        <f t="shared" si="1"/>
        <v>48</v>
      </c>
      <c r="N48">
        <f t="shared" si="2"/>
        <v>61</v>
      </c>
      <c r="O48">
        <f t="shared" si="3"/>
        <v>89.5</v>
      </c>
      <c r="P48">
        <f t="shared" si="4"/>
        <v>89.5</v>
      </c>
      <c r="Q48">
        <f t="shared" si="5"/>
        <v>169</v>
      </c>
      <c r="R48">
        <f t="shared" si="6"/>
        <v>1722.25</v>
      </c>
      <c r="S48">
        <f t="shared" si="7"/>
        <v>1722.25</v>
      </c>
      <c r="T48">
        <f t="shared" si="8"/>
        <v>812.25</v>
      </c>
      <c r="U48">
        <f t="shared" si="9"/>
        <v>812.25</v>
      </c>
      <c r="V48">
        <f t="shared" si="10"/>
        <v>0</v>
      </c>
    </row>
    <row r="49" spans="1:22" x14ac:dyDescent="0.35">
      <c r="A49" t="s">
        <v>743</v>
      </c>
      <c r="B49" t="s">
        <v>1017</v>
      </c>
      <c r="C49" t="s">
        <v>580</v>
      </c>
      <c r="E49" s="1">
        <v>2025</v>
      </c>
      <c r="I49">
        <v>82</v>
      </c>
      <c r="J49">
        <v>85</v>
      </c>
      <c r="K49" s="5">
        <v>80</v>
      </c>
      <c r="L49" s="5">
        <v>78</v>
      </c>
      <c r="M49">
        <f t="shared" si="1"/>
        <v>48</v>
      </c>
      <c r="N49">
        <f t="shared" si="2"/>
        <v>61</v>
      </c>
      <c r="O49">
        <f t="shared" si="3"/>
        <v>89.5</v>
      </c>
      <c r="P49">
        <f t="shared" si="4"/>
        <v>89.5</v>
      </c>
      <c r="Q49">
        <f t="shared" si="5"/>
        <v>169</v>
      </c>
      <c r="R49">
        <f t="shared" si="6"/>
        <v>1722.25</v>
      </c>
      <c r="S49">
        <f t="shared" si="7"/>
        <v>1722.25</v>
      </c>
      <c r="T49">
        <f t="shared" si="8"/>
        <v>812.25</v>
      </c>
      <c r="U49">
        <f t="shared" si="9"/>
        <v>812.25</v>
      </c>
      <c r="V49">
        <f t="shared" si="10"/>
        <v>0</v>
      </c>
    </row>
    <row r="50" spans="1:22" x14ac:dyDescent="0.35">
      <c r="A50" t="s">
        <v>27</v>
      </c>
      <c r="B50" t="s">
        <v>1018</v>
      </c>
      <c r="C50" t="s">
        <v>580</v>
      </c>
      <c r="E50" s="1">
        <v>2025</v>
      </c>
      <c r="I50">
        <v>89</v>
      </c>
      <c r="J50">
        <v>87</v>
      </c>
      <c r="K50" s="5">
        <v>76</v>
      </c>
      <c r="L50" s="5">
        <v>76</v>
      </c>
      <c r="M50">
        <f t="shared" si="1"/>
        <v>111.5</v>
      </c>
      <c r="N50">
        <f t="shared" si="2"/>
        <v>121.5</v>
      </c>
      <c r="O50">
        <f t="shared" si="3"/>
        <v>27.5</v>
      </c>
      <c r="P50">
        <f t="shared" si="4"/>
        <v>58</v>
      </c>
      <c r="Q50">
        <f t="shared" si="5"/>
        <v>100</v>
      </c>
      <c r="R50">
        <f t="shared" si="6"/>
        <v>7056</v>
      </c>
      <c r="S50">
        <f t="shared" si="7"/>
        <v>2862.25</v>
      </c>
      <c r="T50">
        <f t="shared" si="8"/>
        <v>8836</v>
      </c>
      <c r="U50">
        <f t="shared" si="9"/>
        <v>4032.25</v>
      </c>
      <c r="V50">
        <f t="shared" si="10"/>
        <v>930.25</v>
      </c>
    </row>
    <row r="51" spans="1:22" x14ac:dyDescent="0.35">
      <c r="A51" t="s">
        <v>962</v>
      </c>
      <c r="B51" t="s">
        <v>1019</v>
      </c>
      <c r="C51" t="s">
        <v>580</v>
      </c>
      <c r="E51" s="1">
        <v>2025</v>
      </c>
      <c r="I51">
        <v>69</v>
      </c>
      <c r="J51">
        <v>81</v>
      </c>
      <c r="K51" s="5">
        <v>67</v>
      </c>
      <c r="L51" s="5">
        <v>77</v>
      </c>
      <c r="M51">
        <f t="shared" si="1"/>
        <v>3</v>
      </c>
      <c r="N51">
        <f t="shared" si="2"/>
        <v>18.5</v>
      </c>
      <c r="O51">
        <f t="shared" si="3"/>
        <v>7</v>
      </c>
      <c r="P51">
        <f t="shared" si="4"/>
        <v>71.5</v>
      </c>
      <c r="Q51">
        <f t="shared" si="5"/>
        <v>240.25</v>
      </c>
      <c r="R51">
        <f t="shared" si="6"/>
        <v>16</v>
      </c>
      <c r="S51">
        <f t="shared" si="7"/>
        <v>4692.25</v>
      </c>
      <c r="T51">
        <f t="shared" si="8"/>
        <v>132.25</v>
      </c>
      <c r="U51">
        <f t="shared" si="9"/>
        <v>2809</v>
      </c>
      <c r="V51">
        <f t="shared" si="10"/>
        <v>4160.25</v>
      </c>
    </row>
    <row r="52" spans="1:22" x14ac:dyDescent="0.35">
      <c r="A52" t="s">
        <v>53</v>
      </c>
      <c r="B52" t="s">
        <v>1020</v>
      </c>
      <c r="C52" t="s">
        <v>580</v>
      </c>
      <c r="E52" s="1">
        <v>2025</v>
      </c>
      <c r="I52">
        <v>76</v>
      </c>
      <c r="J52">
        <v>85</v>
      </c>
      <c r="K52" s="5">
        <v>80</v>
      </c>
      <c r="L52" s="5">
        <v>65</v>
      </c>
      <c r="M52">
        <f t="shared" si="1"/>
        <v>17.5</v>
      </c>
      <c r="N52">
        <f t="shared" si="2"/>
        <v>61</v>
      </c>
      <c r="O52">
        <f t="shared" si="3"/>
        <v>89.5</v>
      </c>
      <c r="P52">
        <f t="shared" si="4"/>
        <v>14.5</v>
      </c>
      <c r="Q52">
        <f t="shared" si="5"/>
        <v>1892.25</v>
      </c>
      <c r="R52">
        <f t="shared" si="6"/>
        <v>5184</v>
      </c>
      <c r="S52">
        <f t="shared" si="7"/>
        <v>9</v>
      </c>
      <c r="T52">
        <f t="shared" si="8"/>
        <v>812.25</v>
      </c>
      <c r="U52">
        <f t="shared" si="9"/>
        <v>2162.25</v>
      </c>
      <c r="V52">
        <f t="shared" si="10"/>
        <v>5625</v>
      </c>
    </row>
    <row r="53" spans="1:22" x14ac:dyDescent="0.35">
      <c r="A53" t="s">
        <v>955</v>
      </c>
      <c r="B53" t="s">
        <v>1021</v>
      </c>
      <c r="C53" t="s">
        <v>580</v>
      </c>
      <c r="E53" s="1">
        <v>2025</v>
      </c>
      <c r="I53">
        <v>82</v>
      </c>
      <c r="J53">
        <v>85</v>
      </c>
      <c r="K53" s="5">
        <v>80</v>
      </c>
      <c r="L53" s="5">
        <v>78</v>
      </c>
      <c r="M53">
        <f t="shared" si="1"/>
        <v>48</v>
      </c>
      <c r="N53">
        <f t="shared" si="2"/>
        <v>61</v>
      </c>
      <c r="O53">
        <f t="shared" si="3"/>
        <v>89.5</v>
      </c>
      <c r="P53">
        <f t="shared" si="4"/>
        <v>89.5</v>
      </c>
      <c r="Q53">
        <f t="shared" si="5"/>
        <v>169</v>
      </c>
      <c r="R53">
        <f t="shared" si="6"/>
        <v>1722.25</v>
      </c>
      <c r="S53">
        <f t="shared" si="7"/>
        <v>1722.25</v>
      </c>
      <c r="T53">
        <f t="shared" si="8"/>
        <v>812.25</v>
      </c>
      <c r="U53">
        <f t="shared" si="9"/>
        <v>812.25</v>
      </c>
      <c r="V53">
        <f t="shared" si="10"/>
        <v>0</v>
      </c>
    </row>
    <row r="54" spans="1:22" x14ac:dyDescent="0.35">
      <c r="A54" t="s">
        <v>955</v>
      </c>
      <c r="B54" t="s">
        <v>1022</v>
      </c>
      <c r="C54" t="s">
        <v>580</v>
      </c>
      <c r="E54" s="1">
        <v>2025</v>
      </c>
      <c r="I54">
        <v>82</v>
      </c>
      <c r="J54">
        <v>85</v>
      </c>
      <c r="K54" s="5">
        <v>80</v>
      </c>
      <c r="L54" s="5">
        <v>78</v>
      </c>
      <c r="M54">
        <f t="shared" si="1"/>
        <v>48</v>
      </c>
      <c r="N54">
        <f t="shared" si="2"/>
        <v>61</v>
      </c>
      <c r="O54">
        <f t="shared" si="3"/>
        <v>89.5</v>
      </c>
      <c r="P54">
        <f t="shared" si="4"/>
        <v>89.5</v>
      </c>
      <c r="Q54">
        <f t="shared" si="5"/>
        <v>169</v>
      </c>
      <c r="R54">
        <f t="shared" si="6"/>
        <v>1722.25</v>
      </c>
      <c r="S54">
        <f t="shared" si="7"/>
        <v>1722.25</v>
      </c>
      <c r="T54">
        <f t="shared" si="8"/>
        <v>812.25</v>
      </c>
      <c r="U54">
        <f t="shared" si="9"/>
        <v>812.25</v>
      </c>
      <c r="V54">
        <f t="shared" si="10"/>
        <v>0</v>
      </c>
    </row>
    <row r="55" spans="1:22" x14ac:dyDescent="0.35">
      <c r="A55" t="s">
        <v>959</v>
      </c>
      <c r="B55" t="s">
        <v>1023</v>
      </c>
      <c r="C55" t="s">
        <v>580</v>
      </c>
      <c r="E55" s="1">
        <v>2025</v>
      </c>
      <c r="I55">
        <v>81</v>
      </c>
      <c r="J55">
        <v>85</v>
      </c>
      <c r="K55" s="5">
        <v>74</v>
      </c>
      <c r="L55" s="5">
        <v>82</v>
      </c>
      <c r="M55">
        <f t="shared" si="1"/>
        <v>43</v>
      </c>
      <c r="N55">
        <f t="shared" si="2"/>
        <v>61</v>
      </c>
      <c r="O55">
        <f t="shared" si="3"/>
        <v>15.5</v>
      </c>
      <c r="P55">
        <f t="shared" si="4"/>
        <v>141.5</v>
      </c>
      <c r="Q55">
        <f t="shared" si="5"/>
        <v>324</v>
      </c>
      <c r="R55">
        <f t="shared" si="6"/>
        <v>756.25</v>
      </c>
      <c r="S55">
        <f t="shared" si="7"/>
        <v>9702.25</v>
      </c>
      <c r="T55">
        <f t="shared" si="8"/>
        <v>2070.25</v>
      </c>
      <c r="U55">
        <f t="shared" si="9"/>
        <v>6480.25</v>
      </c>
      <c r="V55">
        <f t="shared" si="10"/>
        <v>15876</v>
      </c>
    </row>
    <row r="56" spans="1:22" x14ac:dyDescent="0.35">
      <c r="A56" t="s">
        <v>963</v>
      </c>
      <c r="B56" t="s">
        <v>1024</v>
      </c>
      <c r="C56" t="s">
        <v>580</v>
      </c>
      <c r="E56" s="1">
        <v>2025</v>
      </c>
      <c r="I56">
        <v>89</v>
      </c>
      <c r="J56">
        <v>85</v>
      </c>
      <c r="K56" s="5">
        <v>85</v>
      </c>
      <c r="L56" s="5">
        <v>87</v>
      </c>
      <c r="M56">
        <f t="shared" si="1"/>
        <v>111.5</v>
      </c>
      <c r="N56">
        <f t="shared" si="2"/>
        <v>61</v>
      </c>
      <c r="O56">
        <f t="shared" si="3"/>
        <v>156</v>
      </c>
      <c r="P56">
        <f t="shared" si="4"/>
        <v>164</v>
      </c>
      <c r="Q56">
        <f t="shared" si="5"/>
        <v>2550.25</v>
      </c>
      <c r="R56">
        <f t="shared" si="6"/>
        <v>1980.25</v>
      </c>
      <c r="S56">
        <f t="shared" si="7"/>
        <v>2756.25</v>
      </c>
      <c r="T56">
        <f t="shared" si="8"/>
        <v>9025</v>
      </c>
      <c r="U56">
        <f t="shared" si="9"/>
        <v>10609</v>
      </c>
      <c r="V56">
        <f t="shared" si="10"/>
        <v>64</v>
      </c>
    </row>
    <row r="57" spans="1:22" x14ac:dyDescent="0.35">
      <c r="A57" t="s">
        <v>740</v>
      </c>
      <c r="B57" t="s">
        <v>1025</v>
      </c>
      <c r="C57" t="s">
        <v>580</v>
      </c>
      <c r="E57" s="1">
        <v>2025</v>
      </c>
      <c r="I57">
        <v>93</v>
      </c>
      <c r="J57">
        <v>93</v>
      </c>
      <c r="K57" s="5">
        <v>74</v>
      </c>
      <c r="L57" s="5">
        <v>77</v>
      </c>
      <c r="M57">
        <f t="shared" si="1"/>
        <v>157.5</v>
      </c>
      <c r="N57">
        <f t="shared" si="2"/>
        <v>165</v>
      </c>
      <c r="O57">
        <f t="shared" si="3"/>
        <v>15.5</v>
      </c>
      <c r="P57">
        <f t="shared" si="4"/>
        <v>71.5</v>
      </c>
      <c r="Q57">
        <f t="shared" si="5"/>
        <v>56.25</v>
      </c>
      <c r="R57">
        <f t="shared" si="6"/>
        <v>20164</v>
      </c>
      <c r="S57">
        <f t="shared" si="7"/>
        <v>7396</v>
      </c>
      <c r="T57">
        <f t="shared" si="8"/>
        <v>22350.25</v>
      </c>
      <c r="U57">
        <f t="shared" si="9"/>
        <v>8742.25</v>
      </c>
      <c r="V57">
        <f t="shared" si="10"/>
        <v>3136</v>
      </c>
    </row>
    <row r="58" spans="1:22" x14ac:dyDescent="0.35">
      <c r="A58" t="s">
        <v>10</v>
      </c>
      <c r="B58" t="s">
        <v>1026</v>
      </c>
      <c r="C58" t="s">
        <v>580</v>
      </c>
      <c r="E58" s="1">
        <v>2025</v>
      </c>
      <c r="I58">
        <v>92</v>
      </c>
      <c r="J58">
        <v>85</v>
      </c>
      <c r="K58" s="5">
        <v>84</v>
      </c>
      <c r="L58" s="5">
        <v>78</v>
      </c>
      <c r="M58">
        <f t="shared" si="1"/>
        <v>149.5</v>
      </c>
      <c r="N58">
        <f t="shared" si="2"/>
        <v>61</v>
      </c>
      <c r="O58">
        <f t="shared" si="3"/>
        <v>145.5</v>
      </c>
      <c r="P58">
        <f t="shared" si="4"/>
        <v>89.5</v>
      </c>
      <c r="Q58">
        <f t="shared" si="5"/>
        <v>7832.25</v>
      </c>
      <c r="R58">
        <f t="shared" si="6"/>
        <v>16</v>
      </c>
      <c r="S58">
        <f t="shared" si="7"/>
        <v>3600</v>
      </c>
      <c r="T58">
        <f t="shared" si="8"/>
        <v>7140.25</v>
      </c>
      <c r="U58">
        <f t="shared" si="9"/>
        <v>812.25</v>
      </c>
      <c r="V58">
        <f t="shared" si="10"/>
        <v>3136</v>
      </c>
    </row>
    <row r="59" spans="1:22" x14ac:dyDescent="0.35">
      <c r="A59" t="s">
        <v>14</v>
      </c>
      <c r="B59" t="s">
        <v>1027</v>
      </c>
      <c r="C59" t="s">
        <v>580</v>
      </c>
      <c r="E59" s="1">
        <v>2025</v>
      </c>
      <c r="I59">
        <v>80</v>
      </c>
      <c r="J59">
        <v>86</v>
      </c>
      <c r="K59" s="5">
        <v>85</v>
      </c>
      <c r="L59" s="5">
        <v>79</v>
      </c>
      <c r="M59">
        <f t="shared" si="1"/>
        <v>36.5</v>
      </c>
      <c r="N59">
        <f t="shared" si="2"/>
        <v>96.5</v>
      </c>
      <c r="O59">
        <f t="shared" si="3"/>
        <v>156</v>
      </c>
      <c r="P59">
        <f t="shared" si="4"/>
        <v>108.5</v>
      </c>
      <c r="Q59">
        <f t="shared" si="5"/>
        <v>3600</v>
      </c>
      <c r="R59">
        <f t="shared" si="6"/>
        <v>14280.25</v>
      </c>
      <c r="S59">
        <f t="shared" si="7"/>
        <v>5184</v>
      </c>
      <c r="T59">
        <f t="shared" si="8"/>
        <v>3540.25</v>
      </c>
      <c r="U59">
        <f t="shared" si="9"/>
        <v>144</v>
      </c>
      <c r="V59">
        <f t="shared" si="10"/>
        <v>2256.25</v>
      </c>
    </row>
    <row r="60" spans="1:22" x14ac:dyDescent="0.35">
      <c r="A60" t="s">
        <v>14</v>
      </c>
      <c r="B60" t="s">
        <v>1028</v>
      </c>
      <c r="C60" t="s">
        <v>580</v>
      </c>
      <c r="E60" s="1">
        <v>2025</v>
      </c>
      <c r="I60">
        <v>89</v>
      </c>
      <c r="J60">
        <v>87</v>
      </c>
      <c r="K60" s="5">
        <v>84</v>
      </c>
      <c r="L60" s="5">
        <v>76</v>
      </c>
      <c r="M60">
        <f t="shared" si="1"/>
        <v>111.5</v>
      </c>
      <c r="N60">
        <f t="shared" si="2"/>
        <v>121.5</v>
      </c>
      <c r="O60">
        <f t="shared" si="3"/>
        <v>145.5</v>
      </c>
      <c r="P60">
        <f t="shared" si="4"/>
        <v>58</v>
      </c>
      <c r="Q60">
        <f t="shared" si="5"/>
        <v>100</v>
      </c>
      <c r="R60">
        <f t="shared" si="6"/>
        <v>1156</v>
      </c>
      <c r="S60">
        <f t="shared" si="7"/>
        <v>2862.25</v>
      </c>
      <c r="T60">
        <f t="shared" si="8"/>
        <v>576</v>
      </c>
      <c r="U60">
        <f t="shared" si="9"/>
        <v>4032.25</v>
      </c>
      <c r="V60">
        <f t="shared" si="10"/>
        <v>7656.25</v>
      </c>
    </row>
    <row r="61" spans="1:22" x14ac:dyDescent="0.35">
      <c r="A61" t="s">
        <v>14</v>
      </c>
      <c r="B61" t="s">
        <v>1029</v>
      </c>
      <c r="C61" t="s">
        <v>580</v>
      </c>
      <c r="E61" s="1">
        <v>2025</v>
      </c>
      <c r="I61">
        <v>74</v>
      </c>
      <c r="J61">
        <v>81</v>
      </c>
      <c r="K61" s="5">
        <v>60</v>
      </c>
      <c r="L61" s="5">
        <v>56.999999999999993</v>
      </c>
      <c r="M61">
        <f t="shared" si="1"/>
        <v>11</v>
      </c>
      <c r="N61">
        <f t="shared" si="2"/>
        <v>18.5</v>
      </c>
      <c r="O61">
        <f t="shared" si="3"/>
        <v>2.5</v>
      </c>
      <c r="P61">
        <f t="shared" si="4"/>
        <v>4</v>
      </c>
      <c r="Q61">
        <f t="shared" si="5"/>
        <v>56.25</v>
      </c>
      <c r="R61">
        <f t="shared" si="6"/>
        <v>72.25</v>
      </c>
      <c r="S61">
        <f t="shared" si="7"/>
        <v>49</v>
      </c>
      <c r="T61">
        <f t="shared" si="8"/>
        <v>256</v>
      </c>
      <c r="U61">
        <f t="shared" si="9"/>
        <v>210.25</v>
      </c>
      <c r="V61">
        <f t="shared" si="10"/>
        <v>2.25</v>
      </c>
    </row>
    <row r="62" spans="1:22" x14ac:dyDescent="0.35">
      <c r="A62" t="s">
        <v>591</v>
      </c>
      <c r="B62" t="s">
        <v>1030</v>
      </c>
      <c r="C62" t="s">
        <v>580</v>
      </c>
      <c r="E62" s="1">
        <v>2025</v>
      </c>
      <c r="I62">
        <v>85</v>
      </c>
      <c r="J62">
        <v>82</v>
      </c>
      <c r="K62" s="5">
        <v>81</v>
      </c>
      <c r="L62" s="5">
        <v>80</v>
      </c>
      <c r="M62">
        <f t="shared" si="1"/>
        <v>77</v>
      </c>
      <c r="N62">
        <f t="shared" si="2"/>
        <v>24.5</v>
      </c>
      <c r="O62">
        <f t="shared" si="3"/>
        <v>107.5</v>
      </c>
      <c r="P62">
        <f t="shared" si="4"/>
        <v>127.5</v>
      </c>
      <c r="Q62">
        <f t="shared" si="5"/>
        <v>2756.25</v>
      </c>
      <c r="R62">
        <f t="shared" si="6"/>
        <v>930.25</v>
      </c>
      <c r="S62">
        <f t="shared" si="7"/>
        <v>2550.25</v>
      </c>
      <c r="T62">
        <f t="shared" si="8"/>
        <v>6889</v>
      </c>
      <c r="U62">
        <f t="shared" si="9"/>
        <v>10609</v>
      </c>
      <c r="V62">
        <f t="shared" si="10"/>
        <v>400</v>
      </c>
    </row>
    <row r="63" spans="1:22" x14ac:dyDescent="0.35">
      <c r="A63" t="s">
        <v>29</v>
      </c>
      <c r="B63" t="s">
        <v>1031</v>
      </c>
      <c r="C63" t="s">
        <v>580</v>
      </c>
      <c r="E63" s="1">
        <v>2025</v>
      </c>
      <c r="I63">
        <v>84</v>
      </c>
      <c r="J63">
        <v>87</v>
      </c>
      <c r="K63" s="5">
        <v>77</v>
      </c>
      <c r="L63" s="5">
        <v>83</v>
      </c>
      <c r="M63">
        <f t="shared" si="1"/>
        <v>69.5</v>
      </c>
      <c r="N63">
        <f t="shared" si="2"/>
        <v>121.5</v>
      </c>
      <c r="O63">
        <f t="shared" si="3"/>
        <v>42.5</v>
      </c>
      <c r="P63">
        <f t="shared" si="4"/>
        <v>148</v>
      </c>
      <c r="Q63">
        <f t="shared" si="5"/>
        <v>2704</v>
      </c>
      <c r="R63">
        <f t="shared" si="6"/>
        <v>729</v>
      </c>
      <c r="S63">
        <f t="shared" si="7"/>
        <v>6162.25</v>
      </c>
      <c r="T63">
        <f t="shared" si="8"/>
        <v>6241</v>
      </c>
      <c r="U63">
        <f t="shared" si="9"/>
        <v>702.25</v>
      </c>
      <c r="V63">
        <f t="shared" si="10"/>
        <v>11130.25</v>
      </c>
    </row>
    <row r="64" spans="1:22" x14ac:dyDescent="0.35">
      <c r="A64" t="s">
        <v>10</v>
      </c>
      <c r="B64" t="s">
        <v>1032</v>
      </c>
      <c r="C64" t="s">
        <v>580</v>
      </c>
      <c r="E64" s="1">
        <v>2025</v>
      </c>
      <c r="I64">
        <v>74</v>
      </c>
      <c r="J64">
        <v>73</v>
      </c>
      <c r="K64" s="5">
        <v>81</v>
      </c>
      <c r="L64" s="5">
        <v>69</v>
      </c>
      <c r="M64">
        <f t="shared" si="1"/>
        <v>11</v>
      </c>
      <c r="N64">
        <f t="shared" si="2"/>
        <v>4</v>
      </c>
      <c r="O64">
        <f t="shared" si="3"/>
        <v>107.5</v>
      </c>
      <c r="P64">
        <f t="shared" si="4"/>
        <v>30</v>
      </c>
      <c r="Q64">
        <f t="shared" si="5"/>
        <v>49</v>
      </c>
      <c r="R64">
        <f t="shared" si="6"/>
        <v>9312.25</v>
      </c>
      <c r="S64">
        <f t="shared" si="7"/>
        <v>361</v>
      </c>
      <c r="T64">
        <f t="shared" si="8"/>
        <v>10712.25</v>
      </c>
      <c r="U64">
        <f t="shared" si="9"/>
        <v>676</v>
      </c>
      <c r="V64">
        <f t="shared" si="10"/>
        <v>6006.25</v>
      </c>
    </row>
    <row r="65" spans="1:22" x14ac:dyDescent="0.35">
      <c r="A65" t="s">
        <v>964</v>
      </c>
      <c r="B65" t="s">
        <v>1033</v>
      </c>
      <c r="C65" t="s">
        <v>580</v>
      </c>
      <c r="E65" s="1">
        <v>2025</v>
      </c>
      <c r="I65">
        <v>94</v>
      </c>
      <c r="J65">
        <v>85</v>
      </c>
      <c r="K65" s="5">
        <v>79</v>
      </c>
      <c r="L65" s="5">
        <v>80</v>
      </c>
      <c r="M65">
        <f t="shared" si="1"/>
        <v>163</v>
      </c>
      <c r="N65">
        <f t="shared" si="2"/>
        <v>61</v>
      </c>
      <c r="O65">
        <f t="shared" si="3"/>
        <v>70.5</v>
      </c>
      <c r="P65">
        <f t="shared" si="4"/>
        <v>127.5</v>
      </c>
      <c r="Q65">
        <f t="shared" si="5"/>
        <v>10404</v>
      </c>
      <c r="R65">
        <f t="shared" si="6"/>
        <v>8556.25</v>
      </c>
      <c r="S65">
        <f t="shared" si="7"/>
        <v>1260.25</v>
      </c>
      <c r="T65">
        <f t="shared" si="8"/>
        <v>90.25</v>
      </c>
      <c r="U65">
        <f t="shared" si="9"/>
        <v>4422.25</v>
      </c>
      <c r="V65">
        <f t="shared" si="10"/>
        <v>3249</v>
      </c>
    </row>
    <row r="66" spans="1:22" x14ac:dyDescent="0.35">
      <c r="A66" t="s">
        <v>965</v>
      </c>
      <c r="B66" t="s">
        <v>1034</v>
      </c>
      <c r="C66" t="s">
        <v>580</v>
      </c>
      <c r="E66" s="1">
        <v>2025</v>
      </c>
      <c r="I66">
        <v>88</v>
      </c>
      <c r="J66">
        <v>85</v>
      </c>
      <c r="K66" s="5">
        <v>79</v>
      </c>
      <c r="L66" s="5">
        <v>78</v>
      </c>
      <c r="M66">
        <f t="shared" si="1"/>
        <v>99.5</v>
      </c>
      <c r="N66">
        <f t="shared" si="2"/>
        <v>61</v>
      </c>
      <c r="O66">
        <f t="shared" si="3"/>
        <v>70.5</v>
      </c>
      <c r="P66">
        <f t="shared" si="4"/>
        <v>89.5</v>
      </c>
      <c r="Q66">
        <f t="shared" si="5"/>
        <v>1482.25</v>
      </c>
      <c r="R66">
        <f t="shared" si="6"/>
        <v>841</v>
      </c>
      <c r="S66">
        <f t="shared" si="7"/>
        <v>100</v>
      </c>
      <c r="T66">
        <f t="shared" si="8"/>
        <v>90.25</v>
      </c>
      <c r="U66">
        <f t="shared" si="9"/>
        <v>812.25</v>
      </c>
      <c r="V66">
        <f t="shared" si="10"/>
        <v>361</v>
      </c>
    </row>
    <row r="67" spans="1:22" x14ac:dyDescent="0.35">
      <c r="A67" t="s">
        <v>32</v>
      </c>
      <c r="B67" t="s">
        <v>1035</v>
      </c>
      <c r="C67" t="s">
        <v>580</v>
      </c>
      <c r="E67" s="1">
        <v>2025</v>
      </c>
      <c r="I67">
        <v>91</v>
      </c>
      <c r="J67">
        <v>87</v>
      </c>
      <c r="K67" s="5">
        <v>79</v>
      </c>
      <c r="L67" s="5">
        <v>73</v>
      </c>
      <c r="M67">
        <f t="shared" ref="M67:M130" si="11">_xlfn.RANK.AVG(I67, I$2:I$170, 1)</f>
        <v>141</v>
      </c>
      <c r="N67">
        <f t="shared" ref="N67:N130" si="12">_xlfn.RANK.AVG(J67, J$2:J$170, 1)</f>
        <v>121.5</v>
      </c>
      <c r="O67">
        <f t="shared" ref="O67:O130" si="13">_xlfn.RANK.AVG(K67, K$2:K$170, 1)</f>
        <v>70.5</v>
      </c>
      <c r="P67">
        <f t="shared" ref="P67:P130" si="14">_xlfn.RANK.AVG(L67, L$2:L$170, 1)</f>
        <v>44.5</v>
      </c>
      <c r="Q67">
        <f t="shared" ref="Q67:Q130" si="15">(M67-N67)^2</f>
        <v>380.25</v>
      </c>
      <c r="R67">
        <f t="shared" ref="R67:R130" si="16">(M67-O67)^2</f>
        <v>4970.25</v>
      </c>
      <c r="S67">
        <f t="shared" ref="S67:S130" si="17">(M67-P67)^2</f>
        <v>9312.25</v>
      </c>
      <c r="T67">
        <f t="shared" ref="T67:T130" si="18">(N67-O67)^2</f>
        <v>2601</v>
      </c>
      <c r="U67">
        <f t="shared" ref="U67:U130" si="19">(N67-P67)^2</f>
        <v>5929</v>
      </c>
      <c r="V67">
        <f t="shared" ref="V67:V130" si="20">(O67-P67)^2</f>
        <v>676</v>
      </c>
    </row>
    <row r="68" spans="1:22" x14ac:dyDescent="0.35">
      <c r="A68" t="s">
        <v>37</v>
      </c>
      <c r="B68" t="s">
        <v>1036</v>
      </c>
      <c r="C68" t="s">
        <v>580</v>
      </c>
      <c r="E68" s="1">
        <v>2025</v>
      </c>
      <c r="I68">
        <v>78</v>
      </c>
      <c r="J68">
        <v>84</v>
      </c>
      <c r="K68" s="5">
        <v>85</v>
      </c>
      <c r="L68" s="5">
        <v>80</v>
      </c>
      <c r="M68">
        <f t="shared" si="11"/>
        <v>24</v>
      </c>
      <c r="N68">
        <f t="shared" si="12"/>
        <v>33.5</v>
      </c>
      <c r="O68">
        <f t="shared" si="13"/>
        <v>156</v>
      </c>
      <c r="P68">
        <f t="shared" si="14"/>
        <v>127.5</v>
      </c>
      <c r="Q68">
        <f t="shared" si="15"/>
        <v>90.25</v>
      </c>
      <c r="R68">
        <f t="shared" si="16"/>
        <v>17424</v>
      </c>
      <c r="S68">
        <f t="shared" si="17"/>
        <v>10712.25</v>
      </c>
      <c r="T68">
        <f t="shared" si="18"/>
        <v>15006.25</v>
      </c>
      <c r="U68">
        <f t="shared" si="19"/>
        <v>8836</v>
      </c>
      <c r="V68">
        <f t="shared" si="20"/>
        <v>812.25</v>
      </c>
    </row>
    <row r="69" spans="1:22" x14ac:dyDescent="0.35">
      <c r="A69" t="s">
        <v>102</v>
      </c>
      <c r="B69" t="s">
        <v>1037</v>
      </c>
      <c r="C69" t="s">
        <v>580</v>
      </c>
      <c r="E69" s="1">
        <v>2025</v>
      </c>
      <c r="I69">
        <v>82</v>
      </c>
      <c r="J69">
        <v>86</v>
      </c>
      <c r="K69" s="5">
        <v>76</v>
      </c>
      <c r="L69" s="5">
        <v>77</v>
      </c>
      <c r="M69">
        <f t="shared" si="11"/>
        <v>48</v>
      </c>
      <c r="N69">
        <f t="shared" si="12"/>
        <v>96.5</v>
      </c>
      <c r="O69">
        <f t="shared" si="13"/>
        <v>27.5</v>
      </c>
      <c r="P69">
        <f t="shared" si="14"/>
        <v>71.5</v>
      </c>
      <c r="Q69">
        <f t="shared" si="15"/>
        <v>2352.25</v>
      </c>
      <c r="R69">
        <f t="shared" si="16"/>
        <v>420.25</v>
      </c>
      <c r="S69">
        <f t="shared" si="17"/>
        <v>552.25</v>
      </c>
      <c r="T69">
        <f t="shared" si="18"/>
        <v>4761</v>
      </c>
      <c r="U69">
        <f t="shared" si="19"/>
        <v>625</v>
      </c>
      <c r="V69">
        <f t="shared" si="20"/>
        <v>1936</v>
      </c>
    </row>
    <row r="70" spans="1:22" x14ac:dyDescent="0.35">
      <c r="A70" t="s">
        <v>34</v>
      </c>
      <c r="B70" t="s">
        <v>1038</v>
      </c>
      <c r="C70" t="s">
        <v>580</v>
      </c>
      <c r="E70" s="1">
        <v>2025</v>
      </c>
      <c r="I70">
        <v>80</v>
      </c>
      <c r="J70">
        <v>85</v>
      </c>
      <c r="K70" s="5">
        <v>79</v>
      </c>
      <c r="L70" s="5">
        <v>62</v>
      </c>
      <c r="M70">
        <f t="shared" si="11"/>
        <v>36.5</v>
      </c>
      <c r="N70">
        <f t="shared" si="12"/>
        <v>61</v>
      </c>
      <c r="O70">
        <f t="shared" si="13"/>
        <v>70.5</v>
      </c>
      <c r="P70">
        <f t="shared" si="14"/>
        <v>10</v>
      </c>
      <c r="Q70">
        <f t="shared" si="15"/>
        <v>600.25</v>
      </c>
      <c r="R70">
        <f t="shared" si="16"/>
        <v>1156</v>
      </c>
      <c r="S70">
        <f t="shared" si="17"/>
        <v>702.25</v>
      </c>
      <c r="T70">
        <f t="shared" si="18"/>
        <v>90.25</v>
      </c>
      <c r="U70">
        <f t="shared" si="19"/>
        <v>2601</v>
      </c>
      <c r="V70">
        <f t="shared" si="20"/>
        <v>3660.25</v>
      </c>
    </row>
    <row r="71" spans="1:22" x14ac:dyDescent="0.35">
      <c r="A71" t="s">
        <v>956</v>
      </c>
      <c r="B71" t="s">
        <v>1039</v>
      </c>
      <c r="C71" t="s">
        <v>580</v>
      </c>
      <c r="E71" s="1">
        <v>2025</v>
      </c>
      <c r="I71">
        <v>88</v>
      </c>
      <c r="J71">
        <v>82</v>
      </c>
      <c r="K71" s="5">
        <v>77</v>
      </c>
      <c r="L71" s="5">
        <v>77</v>
      </c>
      <c r="M71">
        <f t="shared" si="11"/>
        <v>99.5</v>
      </c>
      <c r="N71">
        <f t="shared" si="12"/>
        <v>24.5</v>
      </c>
      <c r="O71">
        <f t="shared" si="13"/>
        <v>42.5</v>
      </c>
      <c r="P71">
        <f t="shared" si="14"/>
        <v>71.5</v>
      </c>
      <c r="Q71">
        <f t="shared" si="15"/>
        <v>5625</v>
      </c>
      <c r="R71">
        <f t="shared" si="16"/>
        <v>3249</v>
      </c>
      <c r="S71">
        <f t="shared" si="17"/>
        <v>784</v>
      </c>
      <c r="T71">
        <f t="shared" si="18"/>
        <v>324</v>
      </c>
      <c r="U71">
        <f t="shared" si="19"/>
        <v>2209</v>
      </c>
      <c r="V71">
        <f t="shared" si="20"/>
        <v>841</v>
      </c>
    </row>
    <row r="72" spans="1:22" x14ac:dyDescent="0.35">
      <c r="A72" t="s">
        <v>966</v>
      </c>
      <c r="B72" t="s">
        <v>1040</v>
      </c>
      <c r="C72" t="s">
        <v>580</v>
      </c>
      <c r="E72" s="1">
        <v>2025</v>
      </c>
      <c r="I72">
        <v>96</v>
      </c>
      <c r="J72">
        <v>87</v>
      </c>
      <c r="K72" s="5">
        <v>82</v>
      </c>
      <c r="L72" s="5">
        <v>86</v>
      </c>
      <c r="M72">
        <f t="shared" si="11"/>
        <v>168.5</v>
      </c>
      <c r="N72">
        <f t="shared" si="12"/>
        <v>121.5</v>
      </c>
      <c r="O72">
        <f t="shared" si="13"/>
        <v>120</v>
      </c>
      <c r="P72">
        <f t="shared" si="14"/>
        <v>160.5</v>
      </c>
      <c r="Q72">
        <f t="shared" si="15"/>
        <v>2209</v>
      </c>
      <c r="R72">
        <f t="shared" si="16"/>
        <v>2352.25</v>
      </c>
      <c r="S72">
        <f t="shared" si="17"/>
        <v>64</v>
      </c>
      <c r="T72">
        <f t="shared" si="18"/>
        <v>2.25</v>
      </c>
      <c r="U72">
        <f t="shared" si="19"/>
        <v>1521</v>
      </c>
      <c r="V72">
        <f t="shared" si="20"/>
        <v>1640.25</v>
      </c>
    </row>
    <row r="73" spans="1:22" x14ac:dyDescent="0.35">
      <c r="A73" t="s">
        <v>963</v>
      </c>
      <c r="B73" t="s">
        <v>1041</v>
      </c>
      <c r="C73" t="s">
        <v>580</v>
      </c>
      <c r="E73" s="1">
        <v>2025</v>
      </c>
      <c r="I73">
        <v>90</v>
      </c>
      <c r="J73">
        <v>85</v>
      </c>
      <c r="K73" s="5">
        <v>83</v>
      </c>
      <c r="L73" s="5">
        <v>87</v>
      </c>
      <c r="M73">
        <f t="shared" si="11"/>
        <v>127.5</v>
      </c>
      <c r="N73">
        <f t="shared" si="12"/>
        <v>61</v>
      </c>
      <c r="O73">
        <f t="shared" si="13"/>
        <v>132</v>
      </c>
      <c r="P73">
        <f t="shared" si="14"/>
        <v>164</v>
      </c>
      <c r="Q73">
        <f t="shared" si="15"/>
        <v>4422.25</v>
      </c>
      <c r="R73">
        <f t="shared" si="16"/>
        <v>20.25</v>
      </c>
      <c r="S73">
        <f t="shared" si="17"/>
        <v>1332.25</v>
      </c>
      <c r="T73">
        <f t="shared" si="18"/>
        <v>5041</v>
      </c>
      <c r="U73">
        <f t="shared" si="19"/>
        <v>10609</v>
      </c>
      <c r="V73">
        <f t="shared" si="20"/>
        <v>1024</v>
      </c>
    </row>
    <row r="74" spans="1:22" x14ac:dyDescent="0.35">
      <c r="A74" t="s">
        <v>967</v>
      </c>
      <c r="B74" t="s">
        <v>1042</v>
      </c>
      <c r="C74" t="s">
        <v>580</v>
      </c>
      <c r="E74" s="1">
        <v>2025</v>
      </c>
      <c r="I74">
        <v>90</v>
      </c>
      <c r="J74">
        <v>87</v>
      </c>
      <c r="K74" s="5">
        <v>78</v>
      </c>
      <c r="L74" s="5">
        <v>81</v>
      </c>
      <c r="M74">
        <f t="shared" si="11"/>
        <v>127.5</v>
      </c>
      <c r="N74">
        <f t="shared" si="12"/>
        <v>121.5</v>
      </c>
      <c r="O74">
        <f t="shared" si="13"/>
        <v>56</v>
      </c>
      <c r="P74">
        <f t="shared" si="14"/>
        <v>139</v>
      </c>
      <c r="Q74">
        <f t="shared" si="15"/>
        <v>36</v>
      </c>
      <c r="R74">
        <f t="shared" si="16"/>
        <v>5112.25</v>
      </c>
      <c r="S74">
        <f t="shared" si="17"/>
        <v>132.25</v>
      </c>
      <c r="T74">
        <f t="shared" si="18"/>
        <v>4290.25</v>
      </c>
      <c r="U74">
        <f t="shared" si="19"/>
        <v>306.25</v>
      </c>
      <c r="V74">
        <f t="shared" si="20"/>
        <v>6889</v>
      </c>
    </row>
    <row r="75" spans="1:22" x14ac:dyDescent="0.35">
      <c r="A75" t="s">
        <v>582</v>
      </c>
      <c r="B75" t="s">
        <v>1043</v>
      </c>
      <c r="C75" t="s">
        <v>580</v>
      </c>
      <c r="E75" s="1">
        <v>2025</v>
      </c>
      <c r="I75">
        <v>83</v>
      </c>
      <c r="J75">
        <v>87</v>
      </c>
      <c r="K75" s="5">
        <v>77</v>
      </c>
      <c r="L75" s="5">
        <v>79</v>
      </c>
      <c r="M75">
        <f t="shared" si="11"/>
        <v>58.5</v>
      </c>
      <c r="N75">
        <f t="shared" si="12"/>
        <v>121.5</v>
      </c>
      <c r="O75">
        <f t="shared" si="13"/>
        <v>42.5</v>
      </c>
      <c r="P75">
        <f t="shared" si="14"/>
        <v>108.5</v>
      </c>
      <c r="Q75">
        <f t="shared" si="15"/>
        <v>3969</v>
      </c>
      <c r="R75">
        <f t="shared" si="16"/>
        <v>256</v>
      </c>
      <c r="S75">
        <f t="shared" si="17"/>
        <v>2500</v>
      </c>
      <c r="T75">
        <f t="shared" si="18"/>
        <v>6241</v>
      </c>
      <c r="U75">
        <f t="shared" si="19"/>
        <v>169</v>
      </c>
      <c r="V75">
        <f t="shared" si="20"/>
        <v>4356</v>
      </c>
    </row>
    <row r="76" spans="1:22" x14ac:dyDescent="0.35">
      <c r="A76" t="s">
        <v>582</v>
      </c>
      <c r="B76" t="s">
        <v>1044</v>
      </c>
      <c r="C76" t="s">
        <v>580</v>
      </c>
      <c r="E76" s="1">
        <v>2025</v>
      </c>
      <c r="I76">
        <v>83</v>
      </c>
      <c r="J76">
        <v>82</v>
      </c>
      <c r="K76" s="5">
        <v>81</v>
      </c>
      <c r="L76" s="5">
        <v>77</v>
      </c>
      <c r="M76">
        <f t="shared" si="11"/>
        <v>58.5</v>
      </c>
      <c r="N76">
        <f t="shared" si="12"/>
        <v>24.5</v>
      </c>
      <c r="O76">
        <f t="shared" si="13"/>
        <v>107.5</v>
      </c>
      <c r="P76">
        <f t="shared" si="14"/>
        <v>71.5</v>
      </c>
      <c r="Q76">
        <f t="shared" si="15"/>
        <v>1156</v>
      </c>
      <c r="R76">
        <f t="shared" si="16"/>
        <v>2401</v>
      </c>
      <c r="S76">
        <f t="shared" si="17"/>
        <v>169</v>
      </c>
      <c r="T76">
        <f t="shared" si="18"/>
        <v>6889</v>
      </c>
      <c r="U76">
        <f t="shared" si="19"/>
        <v>2209</v>
      </c>
      <c r="V76">
        <f t="shared" si="20"/>
        <v>1296</v>
      </c>
    </row>
    <row r="77" spans="1:22" x14ac:dyDescent="0.35">
      <c r="A77" t="s">
        <v>605</v>
      </c>
      <c r="B77" t="s">
        <v>1045</v>
      </c>
      <c r="C77" t="s">
        <v>580</v>
      </c>
      <c r="E77" s="1">
        <v>2025</v>
      </c>
      <c r="I77">
        <v>88</v>
      </c>
      <c r="J77">
        <v>93</v>
      </c>
      <c r="K77" s="5">
        <v>84</v>
      </c>
      <c r="L77" s="5">
        <v>92</v>
      </c>
      <c r="M77">
        <f t="shared" si="11"/>
        <v>99.5</v>
      </c>
      <c r="N77">
        <f t="shared" si="12"/>
        <v>165</v>
      </c>
      <c r="O77">
        <f t="shared" si="13"/>
        <v>145.5</v>
      </c>
      <c r="P77">
        <f t="shared" si="14"/>
        <v>168.5</v>
      </c>
      <c r="Q77">
        <f t="shared" si="15"/>
        <v>4290.25</v>
      </c>
      <c r="R77">
        <f t="shared" si="16"/>
        <v>2116</v>
      </c>
      <c r="S77">
        <f t="shared" si="17"/>
        <v>4761</v>
      </c>
      <c r="T77">
        <f t="shared" si="18"/>
        <v>380.25</v>
      </c>
      <c r="U77">
        <f t="shared" si="19"/>
        <v>12.25</v>
      </c>
      <c r="V77">
        <f t="shared" si="20"/>
        <v>529</v>
      </c>
    </row>
    <row r="78" spans="1:22" x14ac:dyDescent="0.35">
      <c r="A78" t="s">
        <v>172</v>
      </c>
      <c r="B78" t="s">
        <v>1046</v>
      </c>
      <c r="C78" t="s">
        <v>580</v>
      </c>
      <c r="E78" s="1">
        <v>2025</v>
      </c>
      <c r="I78">
        <v>77</v>
      </c>
      <c r="J78">
        <v>85</v>
      </c>
      <c r="K78" s="5">
        <v>79</v>
      </c>
      <c r="L78" s="5">
        <v>72</v>
      </c>
      <c r="M78">
        <f t="shared" si="11"/>
        <v>21</v>
      </c>
      <c r="N78">
        <f t="shared" si="12"/>
        <v>61</v>
      </c>
      <c r="O78">
        <f t="shared" si="13"/>
        <v>70.5</v>
      </c>
      <c r="P78">
        <f t="shared" si="14"/>
        <v>38.5</v>
      </c>
      <c r="Q78">
        <f t="shared" si="15"/>
        <v>1600</v>
      </c>
      <c r="R78">
        <f t="shared" si="16"/>
        <v>2450.25</v>
      </c>
      <c r="S78">
        <f t="shared" si="17"/>
        <v>306.25</v>
      </c>
      <c r="T78">
        <f t="shared" si="18"/>
        <v>90.25</v>
      </c>
      <c r="U78">
        <f t="shared" si="19"/>
        <v>506.25</v>
      </c>
      <c r="V78">
        <f t="shared" si="20"/>
        <v>1024</v>
      </c>
    </row>
    <row r="79" spans="1:22" x14ac:dyDescent="0.35">
      <c r="A79" t="s">
        <v>964</v>
      </c>
      <c r="B79" t="s">
        <v>1047</v>
      </c>
      <c r="C79" t="s">
        <v>580</v>
      </c>
      <c r="E79" s="1">
        <v>2025</v>
      </c>
      <c r="I79">
        <v>95</v>
      </c>
      <c r="J79">
        <v>85</v>
      </c>
      <c r="K79" s="5">
        <v>78</v>
      </c>
      <c r="L79" s="5">
        <v>80</v>
      </c>
      <c r="M79">
        <f t="shared" si="11"/>
        <v>166</v>
      </c>
      <c r="N79">
        <f t="shared" si="12"/>
        <v>61</v>
      </c>
      <c r="O79">
        <f t="shared" si="13"/>
        <v>56</v>
      </c>
      <c r="P79">
        <f t="shared" si="14"/>
        <v>127.5</v>
      </c>
      <c r="Q79">
        <f t="shared" si="15"/>
        <v>11025</v>
      </c>
      <c r="R79">
        <f t="shared" si="16"/>
        <v>12100</v>
      </c>
      <c r="S79">
        <f t="shared" si="17"/>
        <v>1482.25</v>
      </c>
      <c r="T79">
        <f t="shared" si="18"/>
        <v>25</v>
      </c>
      <c r="U79">
        <f t="shared" si="19"/>
        <v>4422.25</v>
      </c>
      <c r="V79">
        <f t="shared" si="20"/>
        <v>5112.25</v>
      </c>
    </row>
    <row r="80" spans="1:22" x14ac:dyDescent="0.35">
      <c r="A80" t="s">
        <v>45</v>
      </c>
      <c r="B80" t="s">
        <v>1048</v>
      </c>
      <c r="C80" t="s">
        <v>580</v>
      </c>
      <c r="E80" s="1">
        <v>2025</v>
      </c>
      <c r="I80">
        <v>77</v>
      </c>
      <c r="J80">
        <v>85</v>
      </c>
      <c r="K80" s="5">
        <v>79</v>
      </c>
      <c r="L80" s="5">
        <v>72</v>
      </c>
      <c r="M80">
        <f t="shared" si="11"/>
        <v>21</v>
      </c>
      <c r="N80">
        <f t="shared" si="12"/>
        <v>61</v>
      </c>
      <c r="O80">
        <f t="shared" si="13"/>
        <v>70.5</v>
      </c>
      <c r="P80">
        <f t="shared" si="14"/>
        <v>38.5</v>
      </c>
      <c r="Q80">
        <f t="shared" si="15"/>
        <v>1600</v>
      </c>
      <c r="R80">
        <f t="shared" si="16"/>
        <v>2450.25</v>
      </c>
      <c r="S80">
        <f t="shared" si="17"/>
        <v>306.25</v>
      </c>
      <c r="T80">
        <f t="shared" si="18"/>
        <v>90.25</v>
      </c>
      <c r="U80">
        <f t="shared" si="19"/>
        <v>506.25</v>
      </c>
      <c r="V80">
        <f t="shared" si="20"/>
        <v>1024</v>
      </c>
    </row>
    <row r="81" spans="1:22" x14ac:dyDescent="0.35">
      <c r="A81" t="s">
        <v>14</v>
      </c>
      <c r="B81" t="s">
        <v>1049</v>
      </c>
      <c r="C81" t="s">
        <v>580</v>
      </c>
      <c r="E81" s="1">
        <v>2025</v>
      </c>
      <c r="I81">
        <v>84</v>
      </c>
      <c r="J81">
        <v>85</v>
      </c>
      <c r="K81" s="5">
        <v>70</v>
      </c>
      <c r="L81" s="5">
        <v>73</v>
      </c>
      <c r="M81">
        <f t="shared" si="11"/>
        <v>69.5</v>
      </c>
      <c r="N81">
        <f t="shared" si="12"/>
        <v>61</v>
      </c>
      <c r="O81">
        <f t="shared" si="13"/>
        <v>9</v>
      </c>
      <c r="P81">
        <f t="shared" si="14"/>
        <v>44.5</v>
      </c>
      <c r="Q81">
        <f t="shared" si="15"/>
        <v>72.25</v>
      </c>
      <c r="R81">
        <f t="shared" si="16"/>
        <v>3660.25</v>
      </c>
      <c r="S81">
        <f t="shared" si="17"/>
        <v>625</v>
      </c>
      <c r="T81">
        <f t="shared" si="18"/>
        <v>2704</v>
      </c>
      <c r="U81">
        <f t="shared" si="19"/>
        <v>272.25</v>
      </c>
      <c r="V81">
        <f t="shared" si="20"/>
        <v>1260.25</v>
      </c>
    </row>
    <row r="82" spans="1:22" x14ac:dyDescent="0.35">
      <c r="A82" t="s">
        <v>743</v>
      </c>
      <c r="B82" t="s">
        <v>1050</v>
      </c>
      <c r="C82" t="s">
        <v>580</v>
      </c>
      <c r="E82" s="1">
        <v>2025</v>
      </c>
      <c r="I82">
        <v>80</v>
      </c>
      <c r="J82">
        <v>77</v>
      </c>
      <c r="K82" s="5">
        <v>80</v>
      </c>
      <c r="L82" s="5">
        <v>78</v>
      </c>
      <c r="M82">
        <f t="shared" si="11"/>
        <v>36.5</v>
      </c>
      <c r="N82">
        <f t="shared" si="12"/>
        <v>5.5</v>
      </c>
      <c r="O82">
        <f t="shared" si="13"/>
        <v>89.5</v>
      </c>
      <c r="P82">
        <f t="shared" si="14"/>
        <v>89.5</v>
      </c>
      <c r="Q82">
        <f t="shared" si="15"/>
        <v>961</v>
      </c>
      <c r="R82">
        <f t="shared" si="16"/>
        <v>2809</v>
      </c>
      <c r="S82">
        <f t="shared" si="17"/>
        <v>2809</v>
      </c>
      <c r="T82">
        <f t="shared" si="18"/>
        <v>7056</v>
      </c>
      <c r="U82">
        <f t="shared" si="19"/>
        <v>7056</v>
      </c>
      <c r="V82">
        <f t="shared" si="20"/>
        <v>0</v>
      </c>
    </row>
    <row r="83" spans="1:22" x14ac:dyDescent="0.35">
      <c r="A83" t="s">
        <v>743</v>
      </c>
      <c r="B83" t="s">
        <v>1051</v>
      </c>
      <c r="C83" t="s">
        <v>580</v>
      </c>
      <c r="E83" s="1">
        <v>2025</v>
      </c>
      <c r="I83">
        <v>81</v>
      </c>
      <c r="J83">
        <v>77</v>
      </c>
      <c r="K83" s="5">
        <v>80</v>
      </c>
      <c r="L83" s="5">
        <v>78</v>
      </c>
      <c r="M83">
        <f t="shared" si="11"/>
        <v>43</v>
      </c>
      <c r="N83">
        <f t="shared" si="12"/>
        <v>5.5</v>
      </c>
      <c r="O83">
        <f t="shared" si="13"/>
        <v>89.5</v>
      </c>
      <c r="P83">
        <f t="shared" si="14"/>
        <v>89.5</v>
      </c>
      <c r="Q83">
        <f t="shared" si="15"/>
        <v>1406.25</v>
      </c>
      <c r="R83">
        <f t="shared" si="16"/>
        <v>2162.25</v>
      </c>
      <c r="S83">
        <f t="shared" si="17"/>
        <v>2162.25</v>
      </c>
      <c r="T83">
        <f t="shared" si="18"/>
        <v>7056</v>
      </c>
      <c r="U83">
        <f t="shared" si="19"/>
        <v>7056</v>
      </c>
      <c r="V83">
        <f t="shared" si="20"/>
        <v>0</v>
      </c>
    </row>
    <row r="84" spans="1:22" x14ac:dyDescent="0.35">
      <c r="A84" t="s">
        <v>49</v>
      </c>
      <c r="B84" t="s">
        <v>1052</v>
      </c>
      <c r="C84" t="s">
        <v>580</v>
      </c>
      <c r="E84" s="1">
        <v>2025</v>
      </c>
      <c r="I84">
        <v>85</v>
      </c>
      <c r="J84">
        <v>78</v>
      </c>
      <c r="K84" s="5">
        <v>78</v>
      </c>
      <c r="L84" s="5">
        <v>66</v>
      </c>
      <c r="M84">
        <f t="shared" si="11"/>
        <v>77</v>
      </c>
      <c r="N84">
        <f t="shared" si="12"/>
        <v>7</v>
      </c>
      <c r="O84">
        <f t="shared" si="13"/>
        <v>56</v>
      </c>
      <c r="P84">
        <f t="shared" si="14"/>
        <v>17.5</v>
      </c>
      <c r="Q84">
        <f t="shared" si="15"/>
        <v>4900</v>
      </c>
      <c r="R84">
        <f t="shared" si="16"/>
        <v>441</v>
      </c>
      <c r="S84">
        <f t="shared" si="17"/>
        <v>3540.25</v>
      </c>
      <c r="T84">
        <f t="shared" si="18"/>
        <v>2401</v>
      </c>
      <c r="U84">
        <f t="shared" si="19"/>
        <v>110.25</v>
      </c>
      <c r="V84">
        <f t="shared" si="20"/>
        <v>1482.25</v>
      </c>
    </row>
    <row r="85" spans="1:22" x14ac:dyDescent="0.35">
      <c r="A85" t="s">
        <v>29</v>
      </c>
      <c r="B85" t="s">
        <v>1053</v>
      </c>
      <c r="C85" t="s">
        <v>580</v>
      </c>
      <c r="E85" s="1">
        <v>2025</v>
      </c>
      <c r="I85">
        <v>70</v>
      </c>
      <c r="J85">
        <v>81</v>
      </c>
      <c r="K85" s="5">
        <v>70</v>
      </c>
      <c r="L85" s="5">
        <v>67</v>
      </c>
      <c r="M85">
        <f t="shared" si="11"/>
        <v>4.5</v>
      </c>
      <c r="N85">
        <f t="shared" si="12"/>
        <v>18.5</v>
      </c>
      <c r="O85">
        <f t="shared" si="13"/>
        <v>9</v>
      </c>
      <c r="P85">
        <f t="shared" si="14"/>
        <v>21.5</v>
      </c>
      <c r="Q85">
        <f t="shared" si="15"/>
        <v>196</v>
      </c>
      <c r="R85">
        <f t="shared" si="16"/>
        <v>20.25</v>
      </c>
      <c r="S85">
        <f t="shared" si="17"/>
        <v>289</v>
      </c>
      <c r="T85">
        <f t="shared" si="18"/>
        <v>90.25</v>
      </c>
      <c r="U85">
        <f t="shared" si="19"/>
        <v>9</v>
      </c>
      <c r="V85">
        <f t="shared" si="20"/>
        <v>156.25</v>
      </c>
    </row>
    <row r="86" spans="1:22" x14ac:dyDescent="0.35">
      <c r="A86" t="s">
        <v>1073</v>
      </c>
      <c r="B86" s="2" t="s">
        <v>1074</v>
      </c>
      <c r="C86" t="s">
        <v>580</v>
      </c>
      <c r="E86" s="1">
        <v>2025</v>
      </c>
      <c r="I86">
        <v>90</v>
      </c>
      <c r="J86">
        <v>87</v>
      </c>
      <c r="K86" s="5">
        <v>83</v>
      </c>
      <c r="L86" s="5">
        <v>89</v>
      </c>
      <c r="M86">
        <f t="shared" si="11"/>
        <v>127.5</v>
      </c>
      <c r="N86">
        <f t="shared" si="12"/>
        <v>121.5</v>
      </c>
      <c r="O86">
        <f t="shared" si="13"/>
        <v>132</v>
      </c>
      <c r="P86">
        <f t="shared" si="14"/>
        <v>167</v>
      </c>
      <c r="Q86">
        <f t="shared" si="15"/>
        <v>36</v>
      </c>
      <c r="R86">
        <f t="shared" si="16"/>
        <v>20.25</v>
      </c>
      <c r="S86">
        <f t="shared" si="17"/>
        <v>1560.25</v>
      </c>
      <c r="T86">
        <f t="shared" si="18"/>
        <v>110.25</v>
      </c>
      <c r="U86">
        <f t="shared" si="19"/>
        <v>2070.25</v>
      </c>
      <c r="V86">
        <f t="shared" si="20"/>
        <v>1225</v>
      </c>
    </row>
    <row r="87" spans="1:22" x14ac:dyDescent="0.35">
      <c r="A87" t="s">
        <v>968</v>
      </c>
      <c r="B87" t="s">
        <v>1054</v>
      </c>
      <c r="C87" t="s">
        <v>580</v>
      </c>
      <c r="E87" s="1">
        <v>2025</v>
      </c>
      <c r="I87">
        <v>90</v>
      </c>
      <c r="J87">
        <v>85</v>
      </c>
      <c r="K87" s="5">
        <v>81</v>
      </c>
      <c r="L87" s="5">
        <v>80</v>
      </c>
      <c r="M87">
        <f t="shared" si="11"/>
        <v>127.5</v>
      </c>
      <c r="N87">
        <f t="shared" si="12"/>
        <v>61</v>
      </c>
      <c r="O87">
        <f t="shared" si="13"/>
        <v>107.5</v>
      </c>
      <c r="P87">
        <f t="shared" si="14"/>
        <v>127.5</v>
      </c>
      <c r="Q87">
        <f t="shared" si="15"/>
        <v>4422.25</v>
      </c>
      <c r="R87">
        <f t="shared" si="16"/>
        <v>400</v>
      </c>
      <c r="S87">
        <f t="shared" si="17"/>
        <v>0</v>
      </c>
      <c r="T87">
        <f t="shared" si="18"/>
        <v>2162.25</v>
      </c>
      <c r="U87">
        <f t="shared" si="19"/>
        <v>4422.25</v>
      </c>
      <c r="V87">
        <f t="shared" si="20"/>
        <v>400</v>
      </c>
    </row>
    <row r="88" spans="1:22" x14ac:dyDescent="0.35">
      <c r="A88" t="s">
        <v>73</v>
      </c>
      <c r="B88" t="s">
        <v>1055</v>
      </c>
      <c r="C88" t="s">
        <v>580</v>
      </c>
      <c r="E88" s="1">
        <v>2025</v>
      </c>
      <c r="I88">
        <v>92</v>
      </c>
      <c r="J88">
        <v>85</v>
      </c>
      <c r="K88" s="5">
        <v>81</v>
      </c>
      <c r="L88" s="5">
        <v>79</v>
      </c>
      <c r="M88">
        <f t="shared" si="11"/>
        <v>149.5</v>
      </c>
      <c r="N88">
        <f t="shared" si="12"/>
        <v>61</v>
      </c>
      <c r="O88">
        <f t="shared" si="13"/>
        <v>107.5</v>
      </c>
      <c r="P88">
        <f t="shared" si="14"/>
        <v>108.5</v>
      </c>
      <c r="Q88">
        <f t="shared" si="15"/>
        <v>7832.25</v>
      </c>
      <c r="R88">
        <f t="shared" si="16"/>
        <v>1764</v>
      </c>
      <c r="S88">
        <f t="shared" si="17"/>
        <v>1681</v>
      </c>
      <c r="T88">
        <f t="shared" si="18"/>
        <v>2162.25</v>
      </c>
      <c r="U88">
        <f t="shared" si="19"/>
        <v>2256.25</v>
      </c>
      <c r="V88">
        <f t="shared" si="20"/>
        <v>1</v>
      </c>
    </row>
    <row r="89" spans="1:22" x14ac:dyDescent="0.35">
      <c r="A89" t="s">
        <v>596</v>
      </c>
      <c r="B89" t="s">
        <v>1056</v>
      </c>
      <c r="C89" t="s">
        <v>580</v>
      </c>
      <c r="E89" s="1">
        <v>2025</v>
      </c>
      <c r="I89">
        <v>91</v>
      </c>
      <c r="J89">
        <v>90</v>
      </c>
      <c r="K89" s="5">
        <v>78</v>
      </c>
      <c r="L89" s="5">
        <v>83</v>
      </c>
      <c r="M89">
        <f t="shared" si="11"/>
        <v>141</v>
      </c>
      <c r="N89">
        <f t="shared" si="12"/>
        <v>154.5</v>
      </c>
      <c r="O89">
        <f t="shared" si="13"/>
        <v>56</v>
      </c>
      <c r="P89">
        <f t="shared" si="14"/>
        <v>148</v>
      </c>
      <c r="Q89">
        <f t="shared" si="15"/>
        <v>182.25</v>
      </c>
      <c r="R89">
        <f t="shared" si="16"/>
        <v>7225</v>
      </c>
      <c r="S89">
        <f t="shared" si="17"/>
        <v>49</v>
      </c>
      <c r="T89">
        <f t="shared" si="18"/>
        <v>9702.25</v>
      </c>
      <c r="U89">
        <f t="shared" si="19"/>
        <v>42.25</v>
      </c>
      <c r="V89">
        <f t="shared" si="20"/>
        <v>8464</v>
      </c>
    </row>
    <row r="90" spans="1:22" x14ac:dyDescent="0.35">
      <c r="A90" t="s">
        <v>32</v>
      </c>
      <c r="B90" t="s">
        <v>1057</v>
      </c>
      <c r="C90" t="s">
        <v>580</v>
      </c>
      <c r="E90" s="1">
        <v>2025</v>
      </c>
      <c r="I90">
        <v>85</v>
      </c>
      <c r="J90">
        <v>86</v>
      </c>
      <c r="K90" s="5">
        <v>79</v>
      </c>
      <c r="L90" s="5">
        <v>77</v>
      </c>
      <c r="M90">
        <f t="shared" si="11"/>
        <v>77</v>
      </c>
      <c r="N90">
        <f t="shared" si="12"/>
        <v>96.5</v>
      </c>
      <c r="O90">
        <f t="shared" si="13"/>
        <v>70.5</v>
      </c>
      <c r="P90">
        <f t="shared" si="14"/>
        <v>71.5</v>
      </c>
      <c r="Q90">
        <f t="shared" si="15"/>
        <v>380.25</v>
      </c>
      <c r="R90">
        <f t="shared" si="16"/>
        <v>42.25</v>
      </c>
      <c r="S90">
        <f t="shared" si="17"/>
        <v>30.25</v>
      </c>
      <c r="T90">
        <f t="shared" si="18"/>
        <v>676</v>
      </c>
      <c r="U90">
        <f t="shared" si="19"/>
        <v>625</v>
      </c>
      <c r="V90">
        <f t="shared" si="20"/>
        <v>1</v>
      </c>
    </row>
    <row r="91" spans="1:22" x14ac:dyDescent="0.35">
      <c r="A91" t="s">
        <v>49</v>
      </c>
      <c r="B91" t="s">
        <v>1058</v>
      </c>
      <c r="C91" t="s">
        <v>580</v>
      </c>
      <c r="E91" s="1">
        <v>2025</v>
      </c>
      <c r="I91">
        <v>86</v>
      </c>
      <c r="J91">
        <v>86</v>
      </c>
      <c r="K91" s="5">
        <v>79</v>
      </c>
      <c r="L91" s="5">
        <v>66</v>
      </c>
      <c r="M91">
        <f t="shared" si="11"/>
        <v>83</v>
      </c>
      <c r="N91">
        <f t="shared" si="12"/>
        <v>96.5</v>
      </c>
      <c r="O91">
        <f t="shared" si="13"/>
        <v>70.5</v>
      </c>
      <c r="P91">
        <f t="shared" si="14"/>
        <v>17.5</v>
      </c>
      <c r="Q91">
        <f t="shared" si="15"/>
        <v>182.25</v>
      </c>
      <c r="R91">
        <f t="shared" si="16"/>
        <v>156.25</v>
      </c>
      <c r="S91">
        <f t="shared" si="17"/>
        <v>4290.25</v>
      </c>
      <c r="T91">
        <f t="shared" si="18"/>
        <v>676</v>
      </c>
      <c r="U91">
        <f t="shared" si="19"/>
        <v>6241</v>
      </c>
      <c r="V91">
        <f t="shared" si="20"/>
        <v>2809</v>
      </c>
    </row>
    <row r="92" spans="1:22" x14ac:dyDescent="0.35">
      <c r="A92" t="s">
        <v>24</v>
      </c>
      <c r="B92" t="s">
        <v>1059</v>
      </c>
      <c r="C92" t="s">
        <v>580</v>
      </c>
      <c r="E92" s="1">
        <v>2025</v>
      </c>
      <c r="I92">
        <v>83</v>
      </c>
      <c r="J92">
        <v>84</v>
      </c>
      <c r="K92" s="5">
        <v>77</v>
      </c>
      <c r="L92" s="5">
        <v>67</v>
      </c>
      <c r="M92">
        <f t="shared" si="11"/>
        <v>58.5</v>
      </c>
      <c r="N92">
        <f t="shared" si="12"/>
        <v>33.5</v>
      </c>
      <c r="O92">
        <f t="shared" si="13"/>
        <v>42.5</v>
      </c>
      <c r="P92">
        <f t="shared" si="14"/>
        <v>21.5</v>
      </c>
      <c r="Q92">
        <f t="shared" si="15"/>
        <v>625</v>
      </c>
      <c r="R92">
        <f t="shared" si="16"/>
        <v>256</v>
      </c>
      <c r="S92">
        <f t="shared" si="17"/>
        <v>1369</v>
      </c>
      <c r="T92">
        <f t="shared" si="18"/>
        <v>81</v>
      </c>
      <c r="U92">
        <f t="shared" si="19"/>
        <v>144</v>
      </c>
      <c r="V92">
        <f t="shared" si="20"/>
        <v>441</v>
      </c>
    </row>
    <row r="93" spans="1:22" x14ac:dyDescent="0.35">
      <c r="A93" t="s">
        <v>24</v>
      </c>
      <c r="B93" t="s">
        <v>1059</v>
      </c>
      <c r="C93" t="s">
        <v>593</v>
      </c>
      <c r="E93" s="1">
        <v>2025</v>
      </c>
      <c r="I93">
        <v>83</v>
      </c>
      <c r="J93">
        <v>84</v>
      </c>
      <c r="K93" s="5">
        <v>78</v>
      </c>
      <c r="L93" s="5">
        <v>78</v>
      </c>
      <c r="M93">
        <f t="shared" si="11"/>
        <v>58.5</v>
      </c>
      <c r="N93">
        <f t="shared" si="12"/>
        <v>33.5</v>
      </c>
      <c r="O93">
        <f t="shared" si="13"/>
        <v>56</v>
      </c>
      <c r="P93">
        <f t="shared" si="14"/>
        <v>89.5</v>
      </c>
      <c r="Q93">
        <f t="shared" si="15"/>
        <v>625</v>
      </c>
      <c r="R93">
        <f t="shared" si="16"/>
        <v>6.25</v>
      </c>
      <c r="S93">
        <f t="shared" si="17"/>
        <v>961</v>
      </c>
      <c r="T93">
        <f t="shared" si="18"/>
        <v>506.25</v>
      </c>
      <c r="U93">
        <f t="shared" si="19"/>
        <v>3136</v>
      </c>
      <c r="V93">
        <f t="shared" si="20"/>
        <v>1122.25</v>
      </c>
    </row>
    <row r="94" spans="1:22" x14ac:dyDescent="0.35">
      <c r="A94" t="s">
        <v>10</v>
      </c>
      <c r="B94" t="s">
        <v>1060</v>
      </c>
      <c r="C94" t="s">
        <v>580</v>
      </c>
      <c r="E94" s="1">
        <v>2025</v>
      </c>
      <c r="I94">
        <v>90</v>
      </c>
      <c r="J94">
        <v>82</v>
      </c>
      <c r="K94" s="5">
        <v>82</v>
      </c>
      <c r="L94" s="5">
        <v>78</v>
      </c>
      <c r="M94">
        <f t="shared" si="11"/>
        <v>127.5</v>
      </c>
      <c r="N94">
        <f t="shared" si="12"/>
        <v>24.5</v>
      </c>
      <c r="O94">
        <f t="shared" si="13"/>
        <v>120</v>
      </c>
      <c r="P94">
        <f t="shared" si="14"/>
        <v>89.5</v>
      </c>
      <c r="Q94">
        <f t="shared" si="15"/>
        <v>10609</v>
      </c>
      <c r="R94">
        <f t="shared" si="16"/>
        <v>56.25</v>
      </c>
      <c r="S94">
        <f t="shared" si="17"/>
        <v>1444</v>
      </c>
      <c r="T94">
        <f t="shared" si="18"/>
        <v>9120.25</v>
      </c>
      <c r="U94">
        <f t="shared" si="19"/>
        <v>4225</v>
      </c>
      <c r="V94">
        <f t="shared" si="20"/>
        <v>930.25</v>
      </c>
    </row>
    <row r="95" spans="1:22" x14ac:dyDescent="0.35">
      <c r="A95" t="s">
        <v>738</v>
      </c>
      <c r="B95" t="s">
        <v>1061</v>
      </c>
      <c r="C95" t="s">
        <v>580</v>
      </c>
      <c r="E95" s="1">
        <v>2025</v>
      </c>
      <c r="I95">
        <v>80</v>
      </c>
      <c r="J95">
        <v>85</v>
      </c>
      <c r="K95" s="5">
        <v>79</v>
      </c>
      <c r="L95" s="5">
        <v>62</v>
      </c>
      <c r="M95">
        <f t="shared" si="11"/>
        <v>36.5</v>
      </c>
      <c r="N95">
        <f t="shared" si="12"/>
        <v>61</v>
      </c>
      <c r="O95">
        <f t="shared" si="13"/>
        <v>70.5</v>
      </c>
      <c r="P95">
        <f t="shared" si="14"/>
        <v>10</v>
      </c>
      <c r="Q95">
        <f t="shared" si="15"/>
        <v>600.25</v>
      </c>
      <c r="R95">
        <f t="shared" si="16"/>
        <v>1156</v>
      </c>
      <c r="S95">
        <f t="shared" si="17"/>
        <v>702.25</v>
      </c>
      <c r="T95">
        <f t="shared" si="18"/>
        <v>90.25</v>
      </c>
      <c r="U95">
        <f t="shared" si="19"/>
        <v>2601</v>
      </c>
      <c r="V95">
        <f t="shared" si="20"/>
        <v>3660.25</v>
      </c>
    </row>
    <row r="96" spans="1:22" x14ac:dyDescent="0.35">
      <c r="A96" t="s">
        <v>40</v>
      </c>
      <c r="B96" t="s">
        <v>1062</v>
      </c>
      <c r="C96" t="s">
        <v>580</v>
      </c>
      <c r="E96" s="1">
        <v>2025</v>
      </c>
      <c r="I96">
        <v>80</v>
      </c>
      <c r="J96">
        <v>85</v>
      </c>
      <c r="K96" s="5">
        <v>79</v>
      </c>
      <c r="L96" s="5">
        <v>62</v>
      </c>
      <c r="M96">
        <f t="shared" si="11"/>
        <v>36.5</v>
      </c>
      <c r="N96">
        <f t="shared" si="12"/>
        <v>61</v>
      </c>
      <c r="O96">
        <f t="shared" si="13"/>
        <v>70.5</v>
      </c>
      <c r="P96">
        <f t="shared" si="14"/>
        <v>10</v>
      </c>
      <c r="Q96">
        <f t="shared" si="15"/>
        <v>600.25</v>
      </c>
      <c r="R96">
        <f t="shared" si="16"/>
        <v>1156</v>
      </c>
      <c r="S96">
        <f t="shared" si="17"/>
        <v>702.25</v>
      </c>
      <c r="T96">
        <f t="shared" si="18"/>
        <v>90.25</v>
      </c>
      <c r="U96">
        <f t="shared" si="19"/>
        <v>2601</v>
      </c>
      <c r="V96">
        <f t="shared" si="20"/>
        <v>3660.25</v>
      </c>
    </row>
    <row r="97" spans="1:22" x14ac:dyDescent="0.35">
      <c r="A97" t="s">
        <v>40</v>
      </c>
      <c r="B97" t="s">
        <v>1063</v>
      </c>
      <c r="C97" t="s">
        <v>580</v>
      </c>
      <c r="E97" s="1">
        <v>2025</v>
      </c>
      <c r="I97">
        <v>80</v>
      </c>
      <c r="J97">
        <v>85</v>
      </c>
      <c r="K97" s="5">
        <v>79</v>
      </c>
      <c r="L97" s="5">
        <v>62</v>
      </c>
      <c r="M97">
        <f t="shared" si="11"/>
        <v>36.5</v>
      </c>
      <c r="N97">
        <f t="shared" si="12"/>
        <v>61</v>
      </c>
      <c r="O97">
        <f t="shared" si="13"/>
        <v>70.5</v>
      </c>
      <c r="P97">
        <f t="shared" si="14"/>
        <v>10</v>
      </c>
      <c r="Q97">
        <f t="shared" si="15"/>
        <v>600.25</v>
      </c>
      <c r="R97">
        <f t="shared" si="16"/>
        <v>1156</v>
      </c>
      <c r="S97">
        <f t="shared" si="17"/>
        <v>702.25</v>
      </c>
      <c r="T97">
        <f t="shared" si="18"/>
        <v>90.25</v>
      </c>
      <c r="U97">
        <f t="shared" si="19"/>
        <v>2601</v>
      </c>
      <c r="V97">
        <f t="shared" si="20"/>
        <v>3660.25</v>
      </c>
    </row>
    <row r="98" spans="1:22" x14ac:dyDescent="0.35">
      <c r="A98" t="s">
        <v>91</v>
      </c>
      <c r="B98" t="s">
        <v>1064</v>
      </c>
      <c r="C98" t="s">
        <v>580</v>
      </c>
      <c r="E98" s="1">
        <v>2025</v>
      </c>
      <c r="I98">
        <v>90</v>
      </c>
      <c r="J98">
        <v>93</v>
      </c>
      <c r="K98" s="5">
        <v>89</v>
      </c>
      <c r="L98" s="5">
        <v>87</v>
      </c>
      <c r="M98">
        <f t="shared" si="11"/>
        <v>127.5</v>
      </c>
      <c r="N98">
        <f t="shared" si="12"/>
        <v>165</v>
      </c>
      <c r="O98">
        <f t="shared" si="13"/>
        <v>167</v>
      </c>
      <c r="P98">
        <f t="shared" si="14"/>
        <v>164</v>
      </c>
      <c r="Q98">
        <f t="shared" si="15"/>
        <v>1406.25</v>
      </c>
      <c r="R98">
        <f t="shared" si="16"/>
        <v>1560.25</v>
      </c>
      <c r="S98">
        <f t="shared" si="17"/>
        <v>1332.25</v>
      </c>
      <c r="T98">
        <f t="shared" si="18"/>
        <v>4</v>
      </c>
      <c r="U98">
        <f t="shared" si="19"/>
        <v>1</v>
      </c>
      <c r="V98">
        <f t="shared" si="20"/>
        <v>9</v>
      </c>
    </row>
    <row r="99" spans="1:22" x14ac:dyDescent="0.35">
      <c r="A99" t="s">
        <v>969</v>
      </c>
      <c r="B99" t="s">
        <v>1065</v>
      </c>
      <c r="C99" t="s">
        <v>580</v>
      </c>
      <c r="E99" s="1">
        <v>2025</v>
      </c>
      <c r="I99">
        <v>90</v>
      </c>
      <c r="J99">
        <v>88</v>
      </c>
      <c r="K99" s="5">
        <v>76</v>
      </c>
      <c r="L99" s="5">
        <v>87</v>
      </c>
      <c r="M99">
        <f t="shared" si="11"/>
        <v>127.5</v>
      </c>
      <c r="N99">
        <f t="shared" si="12"/>
        <v>140</v>
      </c>
      <c r="O99">
        <f t="shared" si="13"/>
        <v>27.5</v>
      </c>
      <c r="P99">
        <f t="shared" si="14"/>
        <v>164</v>
      </c>
      <c r="Q99">
        <f t="shared" si="15"/>
        <v>156.25</v>
      </c>
      <c r="R99">
        <f t="shared" si="16"/>
        <v>10000</v>
      </c>
      <c r="S99">
        <f t="shared" si="17"/>
        <v>1332.25</v>
      </c>
      <c r="T99">
        <f t="shared" si="18"/>
        <v>12656.25</v>
      </c>
      <c r="U99">
        <f t="shared" si="19"/>
        <v>576</v>
      </c>
      <c r="V99">
        <f t="shared" si="20"/>
        <v>18632.25</v>
      </c>
    </row>
    <row r="100" spans="1:22" x14ac:dyDescent="0.35">
      <c r="A100" t="s">
        <v>14</v>
      </c>
      <c r="B100" t="s">
        <v>1066</v>
      </c>
      <c r="C100" t="s">
        <v>580</v>
      </c>
      <c r="E100" s="1">
        <v>2025</v>
      </c>
      <c r="I100">
        <v>86</v>
      </c>
      <c r="J100">
        <v>86</v>
      </c>
      <c r="K100" s="5">
        <v>79</v>
      </c>
      <c r="L100" s="5">
        <v>66</v>
      </c>
      <c r="M100">
        <f t="shared" si="11"/>
        <v>83</v>
      </c>
      <c r="N100">
        <f t="shared" si="12"/>
        <v>96.5</v>
      </c>
      <c r="O100">
        <f t="shared" si="13"/>
        <v>70.5</v>
      </c>
      <c r="P100">
        <f t="shared" si="14"/>
        <v>17.5</v>
      </c>
      <c r="Q100">
        <f t="shared" si="15"/>
        <v>182.25</v>
      </c>
      <c r="R100">
        <f t="shared" si="16"/>
        <v>156.25</v>
      </c>
      <c r="S100">
        <f t="shared" si="17"/>
        <v>4290.25</v>
      </c>
      <c r="T100">
        <f t="shared" si="18"/>
        <v>676</v>
      </c>
      <c r="U100">
        <f t="shared" si="19"/>
        <v>6241</v>
      </c>
      <c r="V100">
        <f t="shared" si="20"/>
        <v>2809</v>
      </c>
    </row>
    <row r="101" spans="1:22" x14ac:dyDescent="0.35">
      <c r="A101" t="s">
        <v>14</v>
      </c>
      <c r="B101" t="s">
        <v>1067</v>
      </c>
      <c r="C101" t="s">
        <v>580</v>
      </c>
      <c r="E101" s="1">
        <v>2025</v>
      </c>
      <c r="I101">
        <v>87</v>
      </c>
      <c r="J101">
        <v>85</v>
      </c>
      <c r="K101" s="5">
        <v>83</v>
      </c>
      <c r="L101" s="5">
        <v>80</v>
      </c>
      <c r="M101">
        <f t="shared" si="11"/>
        <v>90</v>
      </c>
      <c r="N101">
        <f t="shared" si="12"/>
        <v>61</v>
      </c>
      <c r="O101">
        <f t="shared" si="13"/>
        <v>132</v>
      </c>
      <c r="P101">
        <f t="shared" si="14"/>
        <v>127.5</v>
      </c>
      <c r="Q101">
        <f t="shared" si="15"/>
        <v>841</v>
      </c>
      <c r="R101">
        <f t="shared" si="16"/>
        <v>1764</v>
      </c>
      <c r="S101">
        <f t="shared" si="17"/>
        <v>1406.25</v>
      </c>
      <c r="T101">
        <f t="shared" si="18"/>
        <v>5041</v>
      </c>
      <c r="U101">
        <f t="shared" si="19"/>
        <v>4422.25</v>
      </c>
      <c r="V101">
        <f t="shared" si="20"/>
        <v>20.25</v>
      </c>
    </row>
    <row r="102" spans="1:22" x14ac:dyDescent="0.35">
      <c r="A102" t="s">
        <v>27</v>
      </c>
      <c r="B102" t="s">
        <v>1068</v>
      </c>
      <c r="C102" t="s">
        <v>580</v>
      </c>
      <c r="E102" s="1">
        <v>2025</v>
      </c>
      <c r="I102">
        <v>89</v>
      </c>
      <c r="J102">
        <v>87</v>
      </c>
      <c r="K102" s="5">
        <v>82</v>
      </c>
      <c r="L102" s="5">
        <v>76</v>
      </c>
      <c r="M102">
        <f t="shared" si="11"/>
        <v>111.5</v>
      </c>
      <c r="N102">
        <f t="shared" si="12"/>
        <v>121.5</v>
      </c>
      <c r="O102">
        <f t="shared" si="13"/>
        <v>120</v>
      </c>
      <c r="P102">
        <f t="shared" si="14"/>
        <v>58</v>
      </c>
      <c r="Q102">
        <f t="shared" si="15"/>
        <v>100</v>
      </c>
      <c r="R102">
        <f t="shared" si="16"/>
        <v>72.25</v>
      </c>
      <c r="S102">
        <f t="shared" si="17"/>
        <v>2862.25</v>
      </c>
      <c r="T102">
        <f t="shared" si="18"/>
        <v>2.25</v>
      </c>
      <c r="U102">
        <f t="shared" si="19"/>
        <v>4032.25</v>
      </c>
      <c r="V102">
        <f t="shared" si="20"/>
        <v>3844</v>
      </c>
    </row>
    <row r="103" spans="1:22" x14ac:dyDescent="0.35">
      <c r="A103" t="s">
        <v>102</v>
      </c>
      <c r="B103" t="s">
        <v>1069</v>
      </c>
      <c r="C103" t="s">
        <v>580</v>
      </c>
      <c r="E103" s="1">
        <v>2025</v>
      </c>
      <c r="I103">
        <v>87</v>
      </c>
      <c r="J103">
        <v>93</v>
      </c>
      <c r="K103" s="5">
        <v>76</v>
      </c>
      <c r="L103" s="5">
        <v>79</v>
      </c>
      <c r="M103">
        <f t="shared" si="11"/>
        <v>90</v>
      </c>
      <c r="N103">
        <f t="shared" si="12"/>
        <v>165</v>
      </c>
      <c r="O103">
        <f t="shared" si="13"/>
        <v>27.5</v>
      </c>
      <c r="P103">
        <f t="shared" si="14"/>
        <v>108.5</v>
      </c>
      <c r="Q103">
        <f t="shared" si="15"/>
        <v>5625</v>
      </c>
      <c r="R103">
        <f t="shared" si="16"/>
        <v>3906.25</v>
      </c>
      <c r="S103">
        <f t="shared" si="17"/>
        <v>342.25</v>
      </c>
      <c r="T103">
        <f t="shared" si="18"/>
        <v>18906.25</v>
      </c>
      <c r="U103">
        <f t="shared" si="19"/>
        <v>3192.25</v>
      </c>
      <c r="V103">
        <f t="shared" si="20"/>
        <v>6561</v>
      </c>
    </row>
    <row r="104" spans="1:22" x14ac:dyDescent="0.35">
      <c r="A104" t="s">
        <v>957</v>
      </c>
      <c r="B104" t="s">
        <v>1070</v>
      </c>
      <c r="C104" t="s">
        <v>580</v>
      </c>
      <c r="E104" s="1">
        <v>2025</v>
      </c>
      <c r="I104">
        <v>86</v>
      </c>
      <c r="J104">
        <v>87</v>
      </c>
      <c r="K104" s="5">
        <v>83</v>
      </c>
      <c r="L104" s="5">
        <v>83</v>
      </c>
      <c r="M104">
        <f t="shared" si="11"/>
        <v>83</v>
      </c>
      <c r="N104">
        <f t="shared" si="12"/>
        <v>121.5</v>
      </c>
      <c r="O104">
        <f t="shared" si="13"/>
        <v>132</v>
      </c>
      <c r="P104">
        <f t="shared" si="14"/>
        <v>148</v>
      </c>
      <c r="Q104">
        <f t="shared" si="15"/>
        <v>1482.25</v>
      </c>
      <c r="R104">
        <f t="shared" si="16"/>
        <v>2401</v>
      </c>
      <c r="S104">
        <f t="shared" si="17"/>
        <v>4225</v>
      </c>
      <c r="T104">
        <f t="shared" si="18"/>
        <v>110.25</v>
      </c>
      <c r="U104">
        <f t="shared" si="19"/>
        <v>702.25</v>
      </c>
      <c r="V104">
        <f t="shared" si="20"/>
        <v>256</v>
      </c>
    </row>
    <row r="105" spans="1:22" x14ac:dyDescent="0.35">
      <c r="A105" t="s">
        <v>970</v>
      </c>
      <c r="B105" t="s">
        <v>1071</v>
      </c>
      <c r="C105" t="s">
        <v>580</v>
      </c>
      <c r="E105" s="1">
        <v>2025</v>
      </c>
      <c r="I105">
        <v>81</v>
      </c>
      <c r="J105">
        <v>80</v>
      </c>
      <c r="K105" s="5">
        <v>80</v>
      </c>
      <c r="L105" s="5">
        <v>80</v>
      </c>
      <c r="M105">
        <f t="shared" si="11"/>
        <v>43</v>
      </c>
      <c r="N105">
        <f t="shared" si="12"/>
        <v>11.5</v>
      </c>
      <c r="O105">
        <f t="shared" si="13"/>
        <v>89.5</v>
      </c>
      <c r="P105">
        <f t="shared" si="14"/>
        <v>127.5</v>
      </c>
      <c r="Q105">
        <f t="shared" si="15"/>
        <v>992.25</v>
      </c>
      <c r="R105">
        <f t="shared" si="16"/>
        <v>2162.25</v>
      </c>
      <c r="S105">
        <f t="shared" si="17"/>
        <v>7140.25</v>
      </c>
      <c r="T105">
        <f t="shared" si="18"/>
        <v>6084</v>
      </c>
      <c r="U105">
        <f t="shared" si="19"/>
        <v>13456</v>
      </c>
      <c r="V105">
        <f t="shared" si="20"/>
        <v>1444</v>
      </c>
    </row>
    <row r="106" spans="1:22" x14ac:dyDescent="0.35">
      <c r="A106" t="s">
        <v>73</v>
      </c>
      <c r="B106" t="s">
        <v>1032</v>
      </c>
      <c r="C106" t="s">
        <v>580</v>
      </c>
      <c r="E106" s="1">
        <v>2025</v>
      </c>
      <c r="I106">
        <v>90</v>
      </c>
      <c r="J106">
        <v>93</v>
      </c>
      <c r="K106" s="5">
        <v>79</v>
      </c>
      <c r="L106" s="5">
        <v>83</v>
      </c>
      <c r="M106">
        <f t="shared" si="11"/>
        <v>127.5</v>
      </c>
      <c r="N106">
        <f t="shared" si="12"/>
        <v>165</v>
      </c>
      <c r="O106">
        <f t="shared" si="13"/>
        <v>70.5</v>
      </c>
      <c r="P106">
        <f t="shared" si="14"/>
        <v>148</v>
      </c>
      <c r="Q106">
        <f t="shared" si="15"/>
        <v>1406.25</v>
      </c>
      <c r="R106">
        <f t="shared" si="16"/>
        <v>3249</v>
      </c>
      <c r="S106">
        <f t="shared" si="17"/>
        <v>420.25</v>
      </c>
      <c r="T106">
        <f t="shared" si="18"/>
        <v>8930.25</v>
      </c>
      <c r="U106">
        <f t="shared" si="19"/>
        <v>289</v>
      </c>
      <c r="V106">
        <f t="shared" si="20"/>
        <v>6006.25</v>
      </c>
    </row>
    <row r="107" spans="1:22" x14ac:dyDescent="0.35">
      <c r="A107" t="s">
        <v>959</v>
      </c>
      <c r="B107" t="s">
        <v>1072</v>
      </c>
      <c r="C107" t="s">
        <v>580</v>
      </c>
      <c r="E107" s="1">
        <v>2025</v>
      </c>
      <c r="I107">
        <v>82</v>
      </c>
      <c r="J107">
        <v>87</v>
      </c>
      <c r="K107" s="5">
        <v>73</v>
      </c>
      <c r="L107" s="5">
        <v>82</v>
      </c>
      <c r="M107">
        <f t="shared" si="11"/>
        <v>48</v>
      </c>
      <c r="N107">
        <f t="shared" si="12"/>
        <v>121.5</v>
      </c>
      <c r="O107">
        <f t="shared" si="13"/>
        <v>11.5</v>
      </c>
      <c r="P107">
        <f t="shared" si="14"/>
        <v>141.5</v>
      </c>
      <c r="Q107">
        <f t="shared" si="15"/>
        <v>5402.25</v>
      </c>
      <c r="R107">
        <f t="shared" si="16"/>
        <v>1332.25</v>
      </c>
      <c r="S107">
        <f t="shared" si="17"/>
        <v>8742.25</v>
      </c>
      <c r="T107">
        <f t="shared" si="18"/>
        <v>12100</v>
      </c>
      <c r="U107">
        <f t="shared" si="19"/>
        <v>400</v>
      </c>
      <c r="V107">
        <f t="shared" si="20"/>
        <v>16900</v>
      </c>
    </row>
    <row r="108" spans="1:22" x14ac:dyDescent="0.35">
      <c r="A108" t="s">
        <v>12</v>
      </c>
      <c r="B108" t="s">
        <v>534</v>
      </c>
      <c r="C108" t="s">
        <v>535</v>
      </c>
      <c r="D108" s="1" t="s">
        <v>541</v>
      </c>
      <c r="E108" s="1">
        <v>2025</v>
      </c>
      <c r="F108" s="1" t="s">
        <v>571</v>
      </c>
      <c r="G108" s="4" t="s">
        <v>537</v>
      </c>
      <c r="I108">
        <v>89</v>
      </c>
      <c r="J108">
        <v>87</v>
      </c>
      <c r="K108" s="5">
        <v>77</v>
      </c>
      <c r="L108" s="5">
        <v>79</v>
      </c>
      <c r="M108">
        <f t="shared" si="11"/>
        <v>111.5</v>
      </c>
      <c r="N108">
        <f t="shared" si="12"/>
        <v>121.5</v>
      </c>
      <c r="O108">
        <f t="shared" si="13"/>
        <v>42.5</v>
      </c>
      <c r="P108">
        <f t="shared" si="14"/>
        <v>108.5</v>
      </c>
      <c r="Q108">
        <f t="shared" si="15"/>
        <v>100</v>
      </c>
      <c r="R108">
        <f t="shared" si="16"/>
        <v>4761</v>
      </c>
      <c r="S108">
        <f t="shared" si="17"/>
        <v>9</v>
      </c>
      <c r="T108">
        <f t="shared" si="18"/>
        <v>6241</v>
      </c>
      <c r="U108">
        <f t="shared" si="19"/>
        <v>169</v>
      </c>
      <c r="V108">
        <f t="shared" si="20"/>
        <v>4356</v>
      </c>
    </row>
    <row r="109" spans="1:22" x14ac:dyDescent="0.35">
      <c r="A109" t="s">
        <v>32</v>
      </c>
      <c r="B109" t="s">
        <v>538</v>
      </c>
      <c r="C109" t="s">
        <v>539</v>
      </c>
      <c r="D109" s="1" t="s">
        <v>662</v>
      </c>
      <c r="E109" s="1">
        <v>2025</v>
      </c>
      <c r="F109" s="1" t="s">
        <v>571</v>
      </c>
      <c r="G109" s="4" t="s">
        <v>540</v>
      </c>
      <c r="I109">
        <v>92</v>
      </c>
      <c r="J109">
        <v>91</v>
      </c>
      <c r="K109" s="5">
        <v>75</v>
      </c>
      <c r="L109" s="5">
        <v>80</v>
      </c>
      <c r="M109">
        <f t="shared" si="11"/>
        <v>149.5</v>
      </c>
      <c r="N109">
        <f t="shared" si="12"/>
        <v>159</v>
      </c>
      <c r="O109">
        <f t="shared" si="13"/>
        <v>19</v>
      </c>
      <c r="P109">
        <f t="shared" si="14"/>
        <v>127.5</v>
      </c>
      <c r="Q109">
        <f t="shared" si="15"/>
        <v>90.25</v>
      </c>
      <c r="R109">
        <f t="shared" si="16"/>
        <v>17030.25</v>
      </c>
      <c r="S109">
        <f t="shared" si="17"/>
        <v>484</v>
      </c>
      <c r="T109">
        <f t="shared" si="18"/>
        <v>19600</v>
      </c>
      <c r="U109">
        <f t="shared" si="19"/>
        <v>992.25</v>
      </c>
      <c r="V109">
        <f t="shared" si="20"/>
        <v>11772.25</v>
      </c>
    </row>
    <row r="110" spans="1:22" x14ac:dyDescent="0.35">
      <c r="A110" t="s">
        <v>199</v>
      </c>
      <c r="B110" t="s">
        <v>200</v>
      </c>
      <c r="C110" t="s">
        <v>543</v>
      </c>
      <c r="D110" s="1" t="s">
        <v>542</v>
      </c>
      <c r="E110" s="1">
        <v>2024</v>
      </c>
      <c r="F110" s="1" t="s">
        <v>571</v>
      </c>
      <c r="G110" s="4" t="s">
        <v>550</v>
      </c>
      <c r="H110" s="4" t="s">
        <v>549</v>
      </c>
      <c r="I110">
        <v>80</v>
      </c>
      <c r="J110">
        <v>80</v>
      </c>
      <c r="K110" s="5">
        <v>76</v>
      </c>
      <c r="L110" s="5">
        <v>68</v>
      </c>
      <c r="M110">
        <f t="shared" si="11"/>
        <v>36.5</v>
      </c>
      <c r="N110">
        <f t="shared" si="12"/>
        <v>11.5</v>
      </c>
      <c r="O110">
        <f t="shared" si="13"/>
        <v>27.5</v>
      </c>
      <c r="P110">
        <f t="shared" si="14"/>
        <v>25.5</v>
      </c>
      <c r="Q110">
        <f t="shared" si="15"/>
        <v>625</v>
      </c>
      <c r="R110">
        <f t="shared" si="16"/>
        <v>81</v>
      </c>
      <c r="S110">
        <f t="shared" si="17"/>
        <v>121</v>
      </c>
      <c r="T110">
        <f t="shared" si="18"/>
        <v>256</v>
      </c>
      <c r="U110">
        <f t="shared" si="19"/>
        <v>196</v>
      </c>
      <c r="V110">
        <f t="shared" si="20"/>
        <v>4</v>
      </c>
    </row>
    <row r="111" spans="1:22" x14ac:dyDescent="0.35">
      <c r="A111" t="s">
        <v>32</v>
      </c>
      <c r="B111" t="s">
        <v>544</v>
      </c>
      <c r="C111" t="s">
        <v>551</v>
      </c>
      <c r="D111" s="1" t="s">
        <v>545</v>
      </c>
      <c r="E111" s="1">
        <v>2024</v>
      </c>
      <c r="F111" s="1" t="s">
        <v>572</v>
      </c>
      <c r="G111" s="4" t="s">
        <v>546</v>
      </c>
      <c r="H111" s="4" t="s">
        <v>548</v>
      </c>
      <c r="I111">
        <v>87</v>
      </c>
      <c r="J111">
        <v>88</v>
      </c>
      <c r="K111" s="5">
        <v>78</v>
      </c>
      <c r="L111" s="5">
        <v>77</v>
      </c>
      <c r="M111">
        <f t="shared" si="11"/>
        <v>90</v>
      </c>
      <c r="N111">
        <f t="shared" si="12"/>
        <v>140</v>
      </c>
      <c r="O111">
        <f t="shared" si="13"/>
        <v>56</v>
      </c>
      <c r="P111">
        <f t="shared" si="14"/>
        <v>71.5</v>
      </c>
      <c r="Q111">
        <f t="shared" si="15"/>
        <v>2500</v>
      </c>
      <c r="R111">
        <f t="shared" si="16"/>
        <v>1156</v>
      </c>
      <c r="S111">
        <f t="shared" si="17"/>
        <v>342.25</v>
      </c>
      <c r="T111">
        <f t="shared" si="18"/>
        <v>7056</v>
      </c>
      <c r="U111">
        <f t="shared" si="19"/>
        <v>4692.25</v>
      </c>
      <c r="V111">
        <f t="shared" si="20"/>
        <v>240.25</v>
      </c>
    </row>
    <row r="112" spans="1:22" x14ac:dyDescent="0.35">
      <c r="A112" t="s">
        <v>552</v>
      </c>
      <c r="B112" t="s">
        <v>553</v>
      </c>
      <c r="C112" t="s">
        <v>554</v>
      </c>
      <c r="D112" s="1" t="s">
        <v>301</v>
      </c>
      <c r="E112" s="1">
        <v>2024</v>
      </c>
      <c r="F112" s="1" t="s">
        <v>571</v>
      </c>
      <c r="G112" s="4" t="s">
        <v>555</v>
      </c>
      <c r="H112" s="4" t="s">
        <v>554</v>
      </c>
      <c r="I112">
        <v>95</v>
      </c>
      <c r="J112">
        <v>87</v>
      </c>
      <c r="K112" s="5">
        <v>74</v>
      </c>
      <c r="L112" s="5">
        <v>77</v>
      </c>
      <c r="M112">
        <f t="shared" si="11"/>
        <v>166</v>
      </c>
      <c r="N112">
        <f t="shared" si="12"/>
        <v>121.5</v>
      </c>
      <c r="O112">
        <f t="shared" si="13"/>
        <v>15.5</v>
      </c>
      <c r="P112">
        <f t="shared" si="14"/>
        <v>71.5</v>
      </c>
      <c r="Q112">
        <f t="shared" si="15"/>
        <v>1980.25</v>
      </c>
      <c r="R112">
        <f t="shared" si="16"/>
        <v>22650.25</v>
      </c>
      <c r="S112">
        <f t="shared" si="17"/>
        <v>8930.25</v>
      </c>
      <c r="T112">
        <f t="shared" si="18"/>
        <v>11236</v>
      </c>
      <c r="U112">
        <f t="shared" si="19"/>
        <v>2500</v>
      </c>
      <c r="V112">
        <f t="shared" si="20"/>
        <v>3136</v>
      </c>
    </row>
    <row r="113" spans="1:22" x14ac:dyDescent="0.35">
      <c r="A113" t="s">
        <v>29</v>
      </c>
      <c r="B113" t="s">
        <v>450</v>
      </c>
      <c r="C113" t="s">
        <v>559</v>
      </c>
      <c r="D113" s="1" t="s">
        <v>556</v>
      </c>
      <c r="E113" s="1">
        <v>2024</v>
      </c>
      <c r="F113" s="1" t="s">
        <v>573</v>
      </c>
      <c r="G113" s="4" t="s">
        <v>558</v>
      </c>
      <c r="H113" s="4" t="s">
        <v>557</v>
      </c>
      <c r="I113">
        <v>84</v>
      </c>
      <c r="J113">
        <v>88</v>
      </c>
      <c r="K113" s="5">
        <v>70</v>
      </c>
      <c r="L113" s="5">
        <v>69</v>
      </c>
      <c r="M113">
        <f t="shared" si="11"/>
        <v>69.5</v>
      </c>
      <c r="N113">
        <f t="shared" si="12"/>
        <v>140</v>
      </c>
      <c r="O113">
        <f t="shared" si="13"/>
        <v>9</v>
      </c>
      <c r="P113">
        <f t="shared" si="14"/>
        <v>30</v>
      </c>
      <c r="Q113">
        <f t="shared" si="15"/>
        <v>4970.25</v>
      </c>
      <c r="R113">
        <f t="shared" si="16"/>
        <v>3660.25</v>
      </c>
      <c r="S113">
        <f t="shared" si="17"/>
        <v>1560.25</v>
      </c>
      <c r="T113">
        <f t="shared" si="18"/>
        <v>17161</v>
      </c>
      <c r="U113">
        <f t="shared" si="19"/>
        <v>12100</v>
      </c>
      <c r="V113">
        <f t="shared" si="20"/>
        <v>441</v>
      </c>
    </row>
    <row r="114" spans="1:22" x14ac:dyDescent="0.35">
      <c r="A114" t="s">
        <v>29</v>
      </c>
      <c r="B114" t="s">
        <v>450</v>
      </c>
      <c r="C114" t="s">
        <v>560</v>
      </c>
      <c r="D114" s="1" t="s">
        <v>556</v>
      </c>
      <c r="E114" s="1">
        <v>2024</v>
      </c>
      <c r="F114" s="1" t="s">
        <v>573</v>
      </c>
      <c r="G114" s="4" t="s">
        <v>561</v>
      </c>
      <c r="H114" s="4" t="s">
        <v>562</v>
      </c>
      <c r="I114">
        <v>84</v>
      </c>
      <c r="J114">
        <v>88</v>
      </c>
      <c r="K114" s="5">
        <v>77</v>
      </c>
      <c r="L114" s="5">
        <v>79</v>
      </c>
      <c r="M114">
        <f t="shared" si="11"/>
        <v>69.5</v>
      </c>
      <c r="N114">
        <f t="shared" si="12"/>
        <v>140</v>
      </c>
      <c r="O114">
        <f t="shared" si="13"/>
        <v>42.5</v>
      </c>
      <c r="P114">
        <f t="shared" si="14"/>
        <v>108.5</v>
      </c>
      <c r="Q114">
        <f t="shared" si="15"/>
        <v>4970.25</v>
      </c>
      <c r="R114">
        <f t="shared" si="16"/>
        <v>729</v>
      </c>
      <c r="S114">
        <f t="shared" si="17"/>
        <v>1521</v>
      </c>
      <c r="T114">
        <f t="shared" si="18"/>
        <v>9506.25</v>
      </c>
      <c r="U114">
        <f t="shared" si="19"/>
        <v>992.25</v>
      </c>
      <c r="V114">
        <f t="shared" si="20"/>
        <v>4356</v>
      </c>
    </row>
    <row r="115" spans="1:22" x14ac:dyDescent="0.35">
      <c r="A115" t="s">
        <v>563</v>
      </c>
      <c r="B115" t="s">
        <v>564</v>
      </c>
      <c r="C115" t="s">
        <v>565</v>
      </c>
      <c r="D115" s="1" t="s">
        <v>542</v>
      </c>
      <c r="E115" s="1">
        <v>2024</v>
      </c>
      <c r="F115" s="1" t="s">
        <v>571</v>
      </c>
      <c r="G115" s="4" t="s">
        <v>566</v>
      </c>
      <c r="H115" s="4" t="s">
        <v>567</v>
      </c>
      <c r="I115">
        <v>89</v>
      </c>
      <c r="J115">
        <v>85</v>
      </c>
      <c r="K115" s="5">
        <v>77</v>
      </c>
      <c r="L115" s="5">
        <v>76</v>
      </c>
      <c r="M115">
        <f t="shared" si="11"/>
        <v>111.5</v>
      </c>
      <c r="N115">
        <f t="shared" si="12"/>
        <v>61</v>
      </c>
      <c r="O115">
        <f t="shared" si="13"/>
        <v>42.5</v>
      </c>
      <c r="P115">
        <f t="shared" si="14"/>
        <v>58</v>
      </c>
      <c r="Q115">
        <f t="shared" si="15"/>
        <v>2550.25</v>
      </c>
      <c r="R115">
        <f t="shared" si="16"/>
        <v>4761</v>
      </c>
      <c r="S115">
        <f t="shared" si="17"/>
        <v>2862.25</v>
      </c>
      <c r="T115">
        <f t="shared" si="18"/>
        <v>342.25</v>
      </c>
      <c r="U115">
        <f t="shared" si="19"/>
        <v>9</v>
      </c>
      <c r="V115">
        <f t="shared" si="20"/>
        <v>240.25</v>
      </c>
    </row>
    <row r="116" spans="1:22" x14ac:dyDescent="0.35">
      <c r="A116" t="s">
        <v>129</v>
      </c>
      <c r="B116" t="s">
        <v>298</v>
      </c>
      <c r="C116" t="s">
        <v>569</v>
      </c>
      <c r="D116" s="1" t="s">
        <v>301</v>
      </c>
      <c r="E116" s="1">
        <v>2024</v>
      </c>
      <c r="F116" s="1" t="s">
        <v>570</v>
      </c>
      <c r="G116" s="4" t="s">
        <v>574</v>
      </c>
      <c r="H116" s="4" t="s">
        <v>568</v>
      </c>
      <c r="I116">
        <v>82</v>
      </c>
      <c r="J116">
        <v>83</v>
      </c>
      <c r="K116" s="5">
        <v>79</v>
      </c>
      <c r="L116" s="5">
        <v>76</v>
      </c>
      <c r="M116">
        <f t="shared" si="11"/>
        <v>48</v>
      </c>
      <c r="N116">
        <f t="shared" si="12"/>
        <v>29</v>
      </c>
      <c r="O116">
        <f t="shared" si="13"/>
        <v>70.5</v>
      </c>
      <c r="P116">
        <f t="shared" si="14"/>
        <v>58</v>
      </c>
      <c r="Q116">
        <f t="shared" si="15"/>
        <v>361</v>
      </c>
      <c r="R116">
        <f t="shared" si="16"/>
        <v>506.25</v>
      </c>
      <c r="S116">
        <f t="shared" si="17"/>
        <v>100</v>
      </c>
      <c r="T116">
        <f t="shared" si="18"/>
        <v>1722.25</v>
      </c>
      <c r="U116">
        <f t="shared" si="19"/>
        <v>841</v>
      </c>
      <c r="V116">
        <f t="shared" si="20"/>
        <v>156.25</v>
      </c>
    </row>
    <row r="117" spans="1:22" x14ac:dyDescent="0.35">
      <c r="A117" t="s">
        <v>577</v>
      </c>
      <c r="B117" t="s">
        <v>576</v>
      </c>
      <c r="C117" t="s">
        <v>575</v>
      </c>
      <c r="D117" s="1" t="s">
        <v>578</v>
      </c>
      <c r="E117" s="1">
        <v>2024</v>
      </c>
      <c r="F117" s="1" t="s">
        <v>571</v>
      </c>
      <c r="G117" s="4" t="s">
        <v>657</v>
      </c>
      <c r="H117" s="4" t="s">
        <v>579</v>
      </c>
      <c r="I117">
        <v>91</v>
      </c>
      <c r="J117">
        <v>85</v>
      </c>
      <c r="K117" s="5">
        <v>84</v>
      </c>
      <c r="L117" s="5">
        <v>83</v>
      </c>
      <c r="M117">
        <f t="shared" si="11"/>
        <v>141</v>
      </c>
      <c r="N117">
        <f t="shared" si="12"/>
        <v>61</v>
      </c>
      <c r="O117">
        <f t="shared" si="13"/>
        <v>145.5</v>
      </c>
      <c r="P117">
        <f t="shared" si="14"/>
        <v>148</v>
      </c>
      <c r="Q117">
        <f t="shared" si="15"/>
        <v>6400</v>
      </c>
      <c r="R117">
        <f t="shared" si="16"/>
        <v>20.25</v>
      </c>
      <c r="S117">
        <f t="shared" si="17"/>
        <v>49</v>
      </c>
      <c r="T117">
        <f t="shared" si="18"/>
        <v>7140.25</v>
      </c>
      <c r="U117">
        <f t="shared" si="19"/>
        <v>7569</v>
      </c>
      <c r="V117">
        <f t="shared" si="20"/>
        <v>6.25</v>
      </c>
    </row>
    <row r="118" spans="1:22" x14ac:dyDescent="0.35">
      <c r="A118" t="s">
        <v>60</v>
      </c>
      <c r="B118" t="s">
        <v>469</v>
      </c>
      <c r="C118" t="s">
        <v>580</v>
      </c>
      <c r="D118" s="1" t="s">
        <v>556</v>
      </c>
      <c r="E118" s="1">
        <v>2024</v>
      </c>
      <c r="F118" s="1" t="s">
        <v>614</v>
      </c>
      <c r="G118" s="4" t="s">
        <v>615</v>
      </c>
      <c r="H118" s="4" t="s">
        <v>616</v>
      </c>
      <c r="I118">
        <v>92</v>
      </c>
      <c r="J118">
        <v>88</v>
      </c>
      <c r="K118" s="5">
        <v>84</v>
      </c>
      <c r="L118" s="5">
        <v>79</v>
      </c>
      <c r="M118">
        <f t="shared" si="11"/>
        <v>149.5</v>
      </c>
      <c r="N118">
        <f t="shared" si="12"/>
        <v>140</v>
      </c>
      <c r="O118">
        <f t="shared" si="13"/>
        <v>145.5</v>
      </c>
      <c r="P118">
        <f t="shared" si="14"/>
        <v>108.5</v>
      </c>
      <c r="Q118">
        <f t="shared" si="15"/>
        <v>90.25</v>
      </c>
      <c r="R118">
        <f t="shared" si="16"/>
        <v>16</v>
      </c>
      <c r="S118">
        <f t="shared" si="17"/>
        <v>1681</v>
      </c>
      <c r="T118">
        <f t="shared" si="18"/>
        <v>30.25</v>
      </c>
      <c r="U118">
        <f t="shared" si="19"/>
        <v>992.25</v>
      </c>
      <c r="V118">
        <f t="shared" si="20"/>
        <v>1369</v>
      </c>
    </row>
    <row r="119" spans="1:22" x14ac:dyDescent="0.35">
      <c r="A119" t="s">
        <v>10</v>
      </c>
      <c r="B119" t="s">
        <v>581</v>
      </c>
      <c r="C119" t="s">
        <v>580</v>
      </c>
      <c r="D119" s="1" t="s">
        <v>301</v>
      </c>
      <c r="E119" s="1">
        <v>2024</v>
      </c>
      <c r="F119" s="1" t="s">
        <v>570</v>
      </c>
      <c r="G119" s="4" t="s">
        <v>618</v>
      </c>
      <c r="H119" s="4" t="s">
        <v>617</v>
      </c>
      <c r="I119">
        <v>75</v>
      </c>
      <c r="J119">
        <v>82</v>
      </c>
      <c r="K119" s="5">
        <v>73</v>
      </c>
      <c r="L119" s="5">
        <v>76</v>
      </c>
      <c r="M119">
        <f t="shared" si="11"/>
        <v>14</v>
      </c>
      <c r="N119">
        <f t="shared" si="12"/>
        <v>24.5</v>
      </c>
      <c r="O119">
        <f t="shared" si="13"/>
        <v>11.5</v>
      </c>
      <c r="P119">
        <f t="shared" si="14"/>
        <v>58</v>
      </c>
      <c r="Q119">
        <f t="shared" si="15"/>
        <v>110.25</v>
      </c>
      <c r="R119">
        <f t="shared" si="16"/>
        <v>6.25</v>
      </c>
      <c r="S119">
        <f t="shared" si="17"/>
        <v>1936</v>
      </c>
      <c r="T119">
        <f t="shared" si="18"/>
        <v>169</v>
      </c>
      <c r="U119">
        <f t="shared" si="19"/>
        <v>1122.25</v>
      </c>
      <c r="V119">
        <f t="shared" si="20"/>
        <v>2162.25</v>
      </c>
    </row>
    <row r="120" spans="1:22" x14ac:dyDescent="0.35">
      <c r="A120" t="s">
        <v>582</v>
      </c>
      <c r="B120" t="s">
        <v>318</v>
      </c>
      <c r="C120" t="s">
        <v>580</v>
      </c>
      <c r="D120" s="1" t="s">
        <v>301</v>
      </c>
      <c r="E120" s="1">
        <v>2024</v>
      </c>
      <c r="F120" s="1" t="s">
        <v>620</v>
      </c>
      <c r="G120" s="4" t="s">
        <v>619</v>
      </c>
      <c r="H120" s="4" t="s">
        <v>621</v>
      </c>
      <c r="I120">
        <v>83</v>
      </c>
      <c r="J120">
        <v>87</v>
      </c>
      <c r="K120" s="5">
        <v>81</v>
      </c>
      <c r="L120" s="5">
        <v>79</v>
      </c>
      <c r="M120">
        <f t="shared" si="11"/>
        <v>58.5</v>
      </c>
      <c r="N120">
        <f t="shared" si="12"/>
        <v>121.5</v>
      </c>
      <c r="O120">
        <f t="shared" si="13"/>
        <v>107.5</v>
      </c>
      <c r="P120">
        <f t="shared" si="14"/>
        <v>108.5</v>
      </c>
      <c r="Q120">
        <f t="shared" si="15"/>
        <v>3969</v>
      </c>
      <c r="R120">
        <f t="shared" si="16"/>
        <v>2401</v>
      </c>
      <c r="S120">
        <f t="shared" si="17"/>
        <v>2500</v>
      </c>
      <c r="T120">
        <f t="shared" si="18"/>
        <v>196</v>
      </c>
      <c r="U120">
        <f t="shared" si="19"/>
        <v>169</v>
      </c>
      <c r="V120">
        <f t="shared" si="20"/>
        <v>1</v>
      </c>
    </row>
    <row r="121" spans="1:22" x14ac:dyDescent="0.35">
      <c r="A121" t="s">
        <v>124</v>
      </c>
      <c r="B121" t="s">
        <v>583</v>
      </c>
      <c r="C121" t="s">
        <v>580</v>
      </c>
      <c r="D121" s="1" t="s">
        <v>301</v>
      </c>
      <c r="E121" s="1">
        <v>2024</v>
      </c>
      <c r="F121" s="1" t="s">
        <v>571</v>
      </c>
      <c r="G121" s="4" t="s">
        <v>622</v>
      </c>
      <c r="H121" s="4" t="s">
        <v>623</v>
      </c>
      <c r="I121">
        <v>90</v>
      </c>
      <c r="J121">
        <v>90</v>
      </c>
      <c r="K121" s="5">
        <v>83</v>
      </c>
      <c r="L121" s="5">
        <v>78</v>
      </c>
      <c r="M121">
        <f t="shared" si="11"/>
        <v>127.5</v>
      </c>
      <c r="N121">
        <f t="shared" si="12"/>
        <v>154.5</v>
      </c>
      <c r="O121">
        <f t="shared" si="13"/>
        <v>132</v>
      </c>
      <c r="P121">
        <f t="shared" si="14"/>
        <v>89.5</v>
      </c>
      <c r="Q121">
        <f t="shared" si="15"/>
        <v>729</v>
      </c>
      <c r="R121">
        <f t="shared" si="16"/>
        <v>20.25</v>
      </c>
      <c r="S121">
        <f t="shared" si="17"/>
        <v>1444</v>
      </c>
      <c r="T121">
        <f t="shared" si="18"/>
        <v>506.25</v>
      </c>
      <c r="U121">
        <f t="shared" si="19"/>
        <v>4225</v>
      </c>
      <c r="V121">
        <f t="shared" si="20"/>
        <v>1806.25</v>
      </c>
    </row>
    <row r="122" spans="1:22" x14ac:dyDescent="0.35">
      <c r="A122" t="s">
        <v>106</v>
      </c>
      <c r="B122" t="s">
        <v>584</v>
      </c>
      <c r="C122" t="s">
        <v>580</v>
      </c>
      <c r="D122" s="1" t="s">
        <v>542</v>
      </c>
      <c r="E122" s="1">
        <v>2024</v>
      </c>
      <c r="F122" s="1" t="s">
        <v>571</v>
      </c>
      <c r="G122" s="4" t="s">
        <v>625</v>
      </c>
      <c r="H122" s="4" t="s">
        <v>624</v>
      </c>
      <c r="I122">
        <v>80</v>
      </c>
      <c r="J122">
        <v>80</v>
      </c>
      <c r="K122" s="5">
        <v>76</v>
      </c>
      <c r="L122" s="5">
        <v>68</v>
      </c>
      <c r="M122">
        <f t="shared" si="11"/>
        <v>36.5</v>
      </c>
      <c r="N122">
        <f t="shared" si="12"/>
        <v>11.5</v>
      </c>
      <c r="O122">
        <f t="shared" si="13"/>
        <v>27.5</v>
      </c>
      <c r="P122">
        <f t="shared" si="14"/>
        <v>25.5</v>
      </c>
      <c r="Q122">
        <f t="shared" si="15"/>
        <v>625</v>
      </c>
      <c r="R122">
        <f t="shared" si="16"/>
        <v>81</v>
      </c>
      <c r="S122">
        <f t="shared" si="17"/>
        <v>121</v>
      </c>
      <c r="T122">
        <f t="shared" si="18"/>
        <v>256</v>
      </c>
      <c r="U122">
        <f t="shared" si="19"/>
        <v>196</v>
      </c>
      <c r="V122">
        <f t="shared" si="20"/>
        <v>4</v>
      </c>
    </row>
    <row r="123" spans="1:22" x14ac:dyDescent="0.35">
      <c r="A123" t="s">
        <v>363</v>
      </c>
      <c r="B123" t="s">
        <v>409</v>
      </c>
      <c r="C123" t="s">
        <v>580</v>
      </c>
      <c r="D123" s="1" t="s">
        <v>301</v>
      </c>
      <c r="E123" s="1">
        <v>2024</v>
      </c>
      <c r="F123" s="1" t="s">
        <v>570</v>
      </c>
      <c r="G123" s="4" t="s">
        <v>627</v>
      </c>
      <c r="H123" s="4" t="s">
        <v>626</v>
      </c>
      <c r="I123">
        <v>83</v>
      </c>
      <c r="J123">
        <v>89</v>
      </c>
      <c r="K123" s="5">
        <v>86</v>
      </c>
      <c r="L123" s="5">
        <v>72</v>
      </c>
      <c r="M123">
        <f t="shared" si="11"/>
        <v>58.5</v>
      </c>
      <c r="N123">
        <f t="shared" si="12"/>
        <v>147.5</v>
      </c>
      <c r="O123">
        <f t="shared" si="13"/>
        <v>162</v>
      </c>
      <c r="P123">
        <f t="shared" si="14"/>
        <v>38.5</v>
      </c>
      <c r="Q123">
        <f t="shared" si="15"/>
        <v>7921</v>
      </c>
      <c r="R123">
        <f t="shared" si="16"/>
        <v>10712.25</v>
      </c>
      <c r="S123">
        <f t="shared" si="17"/>
        <v>400</v>
      </c>
      <c r="T123">
        <f t="shared" si="18"/>
        <v>210.25</v>
      </c>
      <c r="U123">
        <f t="shared" si="19"/>
        <v>11881</v>
      </c>
      <c r="V123">
        <f t="shared" si="20"/>
        <v>15252.25</v>
      </c>
    </row>
    <row r="124" spans="1:22" x14ac:dyDescent="0.35">
      <c r="A124" t="s">
        <v>96</v>
      </c>
      <c r="B124" t="s">
        <v>309</v>
      </c>
      <c r="C124" t="s">
        <v>580</v>
      </c>
      <c r="D124" s="1" t="s">
        <v>301</v>
      </c>
      <c r="E124" s="1">
        <v>2024</v>
      </c>
      <c r="F124" s="1" t="s">
        <v>571</v>
      </c>
      <c r="G124" s="4" t="s">
        <v>628</v>
      </c>
      <c r="H124" s="4" t="s">
        <v>629</v>
      </c>
      <c r="I124">
        <v>88</v>
      </c>
      <c r="J124">
        <v>85</v>
      </c>
      <c r="K124" s="5">
        <v>79</v>
      </c>
      <c r="L124" s="5">
        <v>80</v>
      </c>
      <c r="M124">
        <f t="shared" si="11"/>
        <v>99.5</v>
      </c>
      <c r="N124">
        <f t="shared" si="12"/>
        <v>61</v>
      </c>
      <c r="O124">
        <f t="shared" si="13"/>
        <v>70.5</v>
      </c>
      <c r="P124">
        <f t="shared" si="14"/>
        <v>127.5</v>
      </c>
      <c r="Q124">
        <f t="shared" si="15"/>
        <v>1482.25</v>
      </c>
      <c r="R124">
        <f t="shared" si="16"/>
        <v>841</v>
      </c>
      <c r="S124">
        <f t="shared" si="17"/>
        <v>784</v>
      </c>
      <c r="T124">
        <f t="shared" si="18"/>
        <v>90.25</v>
      </c>
      <c r="U124">
        <f t="shared" si="19"/>
        <v>4422.25</v>
      </c>
      <c r="V124">
        <f t="shared" si="20"/>
        <v>3249</v>
      </c>
    </row>
    <row r="125" spans="1:22" x14ac:dyDescent="0.35">
      <c r="A125" t="s">
        <v>27</v>
      </c>
      <c r="B125" t="s">
        <v>403</v>
      </c>
      <c r="C125" t="s">
        <v>580</v>
      </c>
      <c r="D125" s="1" t="s">
        <v>301</v>
      </c>
      <c r="E125" s="1">
        <v>2024</v>
      </c>
      <c r="F125" s="1" t="s">
        <v>571</v>
      </c>
      <c r="G125" s="4" t="s">
        <v>630</v>
      </c>
      <c r="H125" s="4" t="s">
        <v>631</v>
      </c>
      <c r="I125">
        <v>89</v>
      </c>
      <c r="J125">
        <v>86</v>
      </c>
      <c r="K125" s="5">
        <v>80</v>
      </c>
      <c r="L125" s="5">
        <v>79</v>
      </c>
      <c r="M125">
        <f t="shared" si="11"/>
        <v>111.5</v>
      </c>
      <c r="N125">
        <f t="shared" si="12"/>
        <v>96.5</v>
      </c>
      <c r="O125">
        <f t="shared" si="13"/>
        <v>89.5</v>
      </c>
      <c r="P125">
        <f t="shared" si="14"/>
        <v>108.5</v>
      </c>
      <c r="Q125">
        <f t="shared" si="15"/>
        <v>225</v>
      </c>
      <c r="R125">
        <f t="shared" si="16"/>
        <v>484</v>
      </c>
      <c r="S125">
        <f t="shared" si="17"/>
        <v>9</v>
      </c>
      <c r="T125">
        <f t="shared" si="18"/>
        <v>49</v>
      </c>
      <c r="U125">
        <f t="shared" si="19"/>
        <v>144</v>
      </c>
      <c r="V125">
        <f t="shared" si="20"/>
        <v>361</v>
      </c>
    </row>
    <row r="126" spans="1:22" x14ac:dyDescent="0.35">
      <c r="A126" t="s">
        <v>49</v>
      </c>
      <c r="B126" t="s">
        <v>585</v>
      </c>
      <c r="C126" t="s">
        <v>580</v>
      </c>
      <c r="D126" s="1" t="s">
        <v>632</v>
      </c>
      <c r="E126" s="1">
        <v>2024</v>
      </c>
      <c r="F126" s="1" t="s">
        <v>571</v>
      </c>
      <c r="G126" s="4" t="s">
        <v>634</v>
      </c>
      <c r="H126" s="4" t="s">
        <v>633</v>
      </c>
      <c r="I126">
        <v>89</v>
      </c>
      <c r="J126">
        <v>86</v>
      </c>
      <c r="K126" s="5">
        <v>80</v>
      </c>
      <c r="L126" s="5">
        <v>72</v>
      </c>
      <c r="M126">
        <f t="shared" si="11"/>
        <v>111.5</v>
      </c>
      <c r="N126">
        <f t="shared" si="12"/>
        <v>96.5</v>
      </c>
      <c r="O126">
        <f t="shared" si="13"/>
        <v>89.5</v>
      </c>
      <c r="P126">
        <f t="shared" si="14"/>
        <v>38.5</v>
      </c>
      <c r="Q126">
        <f t="shared" si="15"/>
        <v>225</v>
      </c>
      <c r="R126">
        <f t="shared" si="16"/>
        <v>484</v>
      </c>
      <c r="S126">
        <f t="shared" si="17"/>
        <v>5329</v>
      </c>
      <c r="T126">
        <f t="shared" si="18"/>
        <v>49</v>
      </c>
      <c r="U126">
        <f t="shared" si="19"/>
        <v>3364</v>
      </c>
      <c r="V126">
        <f t="shared" si="20"/>
        <v>2601</v>
      </c>
    </row>
    <row r="127" spans="1:22" x14ac:dyDescent="0.35">
      <c r="A127" t="s">
        <v>49</v>
      </c>
      <c r="B127" t="s">
        <v>484</v>
      </c>
      <c r="C127" t="s">
        <v>580</v>
      </c>
      <c r="D127" s="1" t="s">
        <v>632</v>
      </c>
      <c r="E127" s="1">
        <v>2024</v>
      </c>
      <c r="F127" s="1" t="s">
        <v>636</v>
      </c>
      <c r="G127" s="4" t="s">
        <v>634</v>
      </c>
      <c r="H127" s="4" t="s">
        <v>635</v>
      </c>
      <c r="I127">
        <v>62</v>
      </c>
      <c r="J127">
        <v>80</v>
      </c>
      <c r="K127" s="5">
        <v>81</v>
      </c>
      <c r="L127" s="5">
        <v>54</v>
      </c>
      <c r="M127">
        <f t="shared" si="11"/>
        <v>1</v>
      </c>
      <c r="N127">
        <f t="shared" si="12"/>
        <v>11.5</v>
      </c>
      <c r="O127">
        <f t="shared" si="13"/>
        <v>107.5</v>
      </c>
      <c r="P127">
        <f t="shared" si="14"/>
        <v>3</v>
      </c>
      <c r="Q127">
        <f t="shared" si="15"/>
        <v>110.25</v>
      </c>
      <c r="R127">
        <f t="shared" si="16"/>
        <v>11342.25</v>
      </c>
      <c r="S127">
        <f t="shared" si="17"/>
        <v>4</v>
      </c>
      <c r="T127">
        <f t="shared" si="18"/>
        <v>9216</v>
      </c>
      <c r="U127">
        <f t="shared" si="19"/>
        <v>72.25</v>
      </c>
      <c r="V127">
        <f t="shared" si="20"/>
        <v>10920.25</v>
      </c>
    </row>
    <row r="128" spans="1:22" x14ac:dyDescent="0.35">
      <c r="A128" t="s">
        <v>10</v>
      </c>
      <c r="B128" t="s">
        <v>400</v>
      </c>
      <c r="C128" t="s">
        <v>580</v>
      </c>
      <c r="D128" s="1" t="s">
        <v>301</v>
      </c>
      <c r="E128" s="1">
        <v>2024</v>
      </c>
      <c r="F128" s="1" t="s">
        <v>636</v>
      </c>
      <c r="G128" s="4" t="s">
        <v>634</v>
      </c>
      <c r="H128" s="4" t="s">
        <v>637</v>
      </c>
      <c r="I128">
        <v>90</v>
      </c>
      <c r="J128">
        <v>85</v>
      </c>
      <c r="K128" s="5">
        <v>83</v>
      </c>
      <c r="L128" s="5">
        <v>74</v>
      </c>
      <c r="M128">
        <f t="shared" si="11"/>
        <v>127.5</v>
      </c>
      <c r="N128">
        <f t="shared" si="12"/>
        <v>61</v>
      </c>
      <c r="O128">
        <f t="shared" si="13"/>
        <v>132</v>
      </c>
      <c r="P128">
        <f t="shared" si="14"/>
        <v>48</v>
      </c>
      <c r="Q128">
        <f t="shared" si="15"/>
        <v>4422.25</v>
      </c>
      <c r="R128">
        <f t="shared" si="16"/>
        <v>20.25</v>
      </c>
      <c r="S128">
        <f t="shared" si="17"/>
        <v>6320.25</v>
      </c>
      <c r="T128">
        <f t="shared" si="18"/>
        <v>5041</v>
      </c>
      <c r="U128">
        <f t="shared" si="19"/>
        <v>169</v>
      </c>
      <c r="V128">
        <f t="shared" si="20"/>
        <v>7056</v>
      </c>
    </row>
    <row r="129" spans="1:22" x14ac:dyDescent="0.35">
      <c r="A129" t="s">
        <v>170</v>
      </c>
      <c r="B129" t="s">
        <v>307</v>
      </c>
      <c r="C129" t="s">
        <v>580</v>
      </c>
      <c r="D129" s="1" t="s">
        <v>301</v>
      </c>
      <c r="E129" s="1">
        <v>2024</v>
      </c>
      <c r="F129" s="1" t="s">
        <v>639</v>
      </c>
      <c r="G129" s="4" t="s">
        <v>638</v>
      </c>
      <c r="H129" s="4" t="s">
        <v>640</v>
      </c>
      <c r="I129">
        <v>76</v>
      </c>
      <c r="J129">
        <v>80</v>
      </c>
      <c r="K129" s="5">
        <v>76</v>
      </c>
      <c r="L129" s="5">
        <v>69</v>
      </c>
      <c r="M129">
        <f t="shared" si="11"/>
        <v>17.5</v>
      </c>
      <c r="N129">
        <f t="shared" si="12"/>
        <v>11.5</v>
      </c>
      <c r="O129">
        <f t="shared" si="13"/>
        <v>27.5</v>
      </c>
      <c r="P129">
        <f t="shared" si="14"/>
        <v>30</v>
      </c>
      <c r="Q129">
        <f t="shared" si="15"/>
        <v>36</v>
      </c>
      <c r="R129">
        <f t="shared" si="16"/>
        <v>100</v>
      </c>
      <c r="S129">
        <f t="shared" si="17"/>
        <v>156.25</v>
      </c>
      <c r="T129">
        <f t="shared" si="18"/>
        <v>256</v>
      </c>
      <c r="U129">
        <f t="shared" si="19"/>
        <v>342.25</v>
      </c>
      <c r="V129">
        <f t="shared" si="20"/>
        <v>6.25</v>
      </c>
    </row>
    <row r="130" spans="1:22" x14ac:dyDescent="0.35">
      <c r="A130" t="s">
        <v>32</v>
      </c>
      <c r="B130" t="s">
        <v>439</v>
      </c>
      <c r="C130" t="s">
        <v>580</v>
      </c>
      <c r="D130" s="1" t="s">
        <v>556</v>
      </c>
      <c r="E130" s="1">
        <v>2024</v>
      </c>
      <c r="F130" s="1" t="s">
        <v>571</v>
      </c>
      <c r="G130" s="4" t="s">
        <v>641</v>
      </c>
      <c r="H130" s="4" t="s">
        <v>642</v>
      </c>
      <c r="I130">
        <v>91</v>
      </c>
      <c r="J130">
        <v>92</v>
      </c>
      <c r="K130" s="5">
        <v>81</v>
      </c>
      <c r="L130" s="5">
        <v>80</v>
      </c>
      <c r="M130">
        <f t="shared" si="11"/>
        <v>141</v>
      </c>
      <c r="N130">
        <f t="shared" si="12"/>
        <v>160</v>
      </c>
      <c r="O130">
        <f t="shared" si="13"/>
        <v>107.5</v>
      </c>
      <c r="P130">
        <f t="shared" si="14"/>
        <v>127.5</v>
      </c>
      <c r="Q130">
        <f t="shared" si="15"/>
        <v>361</v>
      </c>
      <c r="R130">
        <f t="shared" si="16"/>
        <v>1122.25</v>
      </c>
      <c r="S130">
        <f t="shared" si="17"/>
        <v>182.25</v>
      </c>
      <c r="T130">
        <f t="shared" si="18"/>
        <v>2756.25</v>
      </c>
      <c r="U130">
        <f t="shared" si="19"/>
        <v>1056.25</v>
      </c>
      <c r="V130">
        <f t="shared" si="20"/>
        <v>400</v>
      </c>
    </row>
    <row r="131" spans="1:22" x14ac:dyDescent="0.35">
      <c r="A131" t="s">
        <v>49</v>
      </c>
      <c r="B131" t="s">
        <v>357</v>
      </c>
      <c r="C131" t="s">
        <v>580</v>
      </c>
      <c r="D131" s="1" t="s">
        <v>301</v>
      </c>
      <c r="E131" s="1">
        <v>2024</v>
      </c>
      <c r="F131" s="1" t="s">
        <v>571</v>
      </c>
      <c r="G131" s="4" t="s">
        <v>643</v>
      </c>
      <c r="H131" s="4" t="s">
        <v>644</v>
      </c>
      <c r="I131">
        <v>89</v>
      </c>
      <c r="J131">
        <v>86</v>
      </c>
      <c r="K131" s="5">
        <v>80</v>
      </c>
      <c r="L131" s="5">
        <v>72</v>
      </c>
      <c r="M131">
        <f t="shared" ref="M131:M170" si="21">_xlfn.RANK.AVG(I131, I$2:I$170, 1)</f>
        <v>111.5</v>
      </c>
      <c r="N131">
        <f t="shared" ref="N131:N170" si="22">_xlfn.RANK.AVG(J131, J$2:J$170, 1)</f>
        <v>96.5</v>
      </c>
      <c r="O131">
        <f t="shared" ref="O131:O170" si="23">_xlfn.RANK.AVG(K131, K$2:K$170, 1)</f>
        <v>89.5</v>
      </c>
      <c r="P131">
        <f t="shared" ref="P131:P170" si="24">_xlfn.RANK.AVG(L131, L$2:L$170, 1)</f>
        <v>38.5</v>
      </c>
      <c r="Q131">
        <f t="shared" ref="Q131:Q170" si="25">(M131-N131)^2</f>
        <v>225</v>
      </c>
      <c r="R131">
        <f t="shared" ref="R131:R170" si="26">(M131-O131)^2</f>
        <v>484</v>
      </c>
      <c r="S131">
        <f t="shared" ref="S131:S170" si="27">(M131-P131)^2</f>
        <v>5329</v>
      </c>
      <c r="T131">
        <f t="shared" ref="T131:T170" si="28">(N131-O131)^2</f>
        <v>49</v>
      </c>
      <c r="U131">
        <f t="shared" ref="U131:U170" si="29">(N131-P131)^2</f>
        <v>3364</v>
      </c>
      <c r="V131">
        <f t="shared" ref="V131:V170" si="30">(O131-P131)^2</f>
        <v>2601</v>
      </c>
    </row>
    <row r="132" spans="1:22" x14ac:dyDescent="0.35">
      <c r="A132" t="s">
        <v>284</v>
      </c>
      <c r="B132" t="s">
        <v>285</v>
      </c>
      <c r="C132" t="s">
        <v>580</v>
      </c>
      <c r="D132" s="1" t="s">
        <v>632</v>
      </c>
      <c r="E132" s="1">
        <v>2024</v>
      </c>
      <c r="G132" s="4" t="s">
        <v>645</v>
      </c>
      <c r="I132">
        <v>79</v>
      </c>
      <c r="J132">
        <v>70</v>
      </c>
      <c r="K132" s="5">
        <v>59</v>
      </c>
      <c r="L132" s="5">
        <v>53</v>
      </c>
      <c r="M132">
        <f t="shared" si="21"/>
        <v>28.5</v>
      </c>
      <c r="N132">
        <f t="shared" si="22"/>
        <v>2</v>
      </c>
      <c r="O132">
        <f t="shared" si="23"/>
        <v>1</v>
      </c>
      <c r="P132">
        <f t="shared" si="24"/>
        <v>1.5</v>
      </c>
      <c r="Q132">
        <f t="shared" si="25"/>
        <v>702.25</v>
      </c>
      <c r="R132">
        <f t="shared" si="26"/>
        <v>756.25</v>
      </c>
      <c r="S132">
        <f t="shared" si="27"/>
        <v>729</v>
      </c>
      <c r="T132">
        <f t="shared" si="28"/>
        <v>1</v>
      </c>
      <c r="U132">
        <f t="shared" si="29"/>
        <v>0.25</v>
      </c>
      <c r="V132">
        <f t="shared" si="30"/>
        <v>0.25</v>
      </c>
    </row>
    <row r="133" spans="1:22" x14ac:dyDescent="0.35">
      <c r="A133" t="s">
        <v>106</v>
      </c>
      <c r="B133" t="s">
        <v>646</v>
      </c>
      <c r="C133" t="s">
        <v>580</v>
      </c>
      <c r="D133" s="1" t="s">
        <v>301</v>
      </c>
      <c r="E133" s="1">
        <v>2024</v>
      </c>
      <c r="F133" s="1" t="s">
        <v>570</v>
      </c>
      <c r="G133" s="4" t="s">
        <v>648</v>
      </c>
      <c r="H133" s="4" t="s">
        <v>647</v>
      </c>
      <c r="I133">
        <v>76</v>
      </c>
      <c r="J133">
        <v>80</v>
      </c>
      <c r="K133" s="5">
        <v>76</v>
      </c>
      <c r="L133" s="5">
        <v>69</v>
      </c>
      <c r="M133">
        <f t="shared" si="21"/>
        <v>17.5</v>
      </c>
      <c r="N133">
        <f t="shared" si="22"/>
        <v>11.5</v>
      </c>
      <c r="O133">
        <f t="shared" si="23"/>
        <v>27.5</v>
      </c>
      <c r="P133">
        <f t="shared" si="24"/>
        <v>30</v>
      </c>
      <c r="Q133">
        <f t="shared" si="25"/>
        <v>36</v>
      </c>
      <c r="R133">
        <f t="shared" si="26"/>
        <v>100</v>
      </c>
      <c r="S133">
        <f t="shared" si="27"/>
        <v>156.25</v>
      </c>
      <c r="T133">
        <f t="shared" si="28"/>
        <v>256</v>
      </c>
      <c r="U133">
        <f t="shared" si="29"/>
        <v>342.25</v>
      </c>
      <c r="V133">
        <f t="shared" si="30"/>
        <v>6.25</v>
      </c>
    </row>
    <row r="134" spans="1:22" x14ac:dyDescent="0.35">
      <c r="A134" t="s">
        <v>106</v>
      </c>
      <c r="B134" t="s">
        <v>346</v>
      </c>
      <c r="C134" t="s">
        <v>580</v>
      </c>
      <c r="D134" s="1" t="s">
        <v>301</v>
      </c>
      <c r="E134" s="1">
        <v>2024</v>
      </c>
      <c r="F134" s="1" t="s">
        <v>570</v>
      </c>
      <c r="G134" s="4" t="s">
        <v>650</v>
      </c>
      <c r="H134" s="4" t="s">
        <v>649</v>
      </c>
      <c r="I134">
        <v>73</v>
      </c>
      <c r="J134">
        <v>80</v>
      </c>
      <c r="K134" s="5">
        <v>76</v>
      </c>
      <c r="L134" s="5">
        <v>69</v>
      </c>
      <c r="M134">
        <f t="shared" si="21"/>
        <v>8.5</v>
      </c>
      <c r="N134">
        <f t="shared" si="22"/>
        <v>11.5</v>
      </c>
      <c r="O134">
        <f t="shared" si="23"/>
        <v>27.5</v>
      </c>
      <c r="P134">
        <f t="shared" si="24"/>
        <v>30</v>
      </c>
      <c r="Q134">
        <f t="shared" si="25"/>
        <v>9</v>
      </c>
      <c r="R134">
        <f t="shared" si="26"/>
        <v>361</v>
      </c>
      <c r="S134">
        <f t="shared" si="27"/>
        <v>462.25</v>
      </c>
      <c r="T134">
        <f t="shared" si="28"/>
        <v>256</v>
      </c>
      <c r="U134">
        <f t="shared" si="29"/>
        <v>342.25</v>
      </c>
      <c r="V134">
        <f t="shared" si="30"/>
        <v>6.25</v>
      </c>
    </row>
    <row r="135" spans="1:22" x14ac:dyDescent="0.35">
      <c r="A135" t="s">
        <v>363</v>
      </c>
      <c r="B135" t="s">
        <v>364</v>
      </c>
      <c r="C135" t="s">
        <v>580</v>
      </c>
      <c r="D135" s="1" t="s">
        <v>542</v>
      </c>
      <c r="E135" s="1">
        <v>2024</v>
      </c>
      <c r="F135" s="1" t="s">
        <v>570</v>
      </c>
      <c r="G135" s="4" t="s">
        <v>652</v>
      </c>
      <c r="H135" s="4" t="s">
        <v>651</v>
      </c>
      <c r="I135">
        <v>83</v>
      </c>
      <c r="J135">
        <v>90</v>
      </c>
      <c r="K135" s="5">
        <v>85</v>
      </c>
      <c r="L135" s="5">
        <v>72</v>
      </c>
      <c r="M135">
        <f t="shared" si="21"/>
        <v>58.5</v>
      </c>
      <c r="N135">
        <f t="shared" si="22"/>
        <v>154.5</v>
      </c>
      <c r="O135">
        <f t="shared" si="23"/>
        <v>156</v>
      </c>
      <c r="P135">
        <f t="shared" si="24"/>
        <v>38.5</v>
      </c>
      <c r="Q135">
        <f t="shared" si="25"/>
        <v>9216</v>
      </c>
      <c r="R135">
        <f t="shared" si="26"/>
        <v>9506.25</v>
      </c>
      <c r="S135">
        <f t="shared" si="27"/>
        <v>400</v>
      </c>
      <c r="T135">
        <f t="shared" si="28"/>
        <v>2.25</v>
      </c>
      <c r="U135">
        <f t="shared" si="29"/>
        <v>13456</v>
      </c>
      <c r="V135">
        <f t="shared" si="30"/>
        <v>13806.25</v>
      </c>
    </row>
    <row r="136" spans="1:22" x14ac:dyDescent="0.35">
      <c r="A136" t="s">
        <v>363</v>
      </c>
      <c r="B136" t="s">
        <v>586</v>
      </c>
      <c r="C136" t="s">
        <v>580</v>
      </c>
      <c r="D136" s="1" t="s">
        <v>542</v>
      </c>
      <c r="E136" s="1">
        <v>2024</v>
      </c>
      <c r="F136" s="1" t="s">
        <v>570</v>
      </c>
      <c r="G136" s="4" t="s">
        <v>654</v>
      </c>
      <c r="H136" s="4" t="s">
        <v>653</v>
      </c>
      <c r="I136">
        <v>83</v>
      </c>
      <c r="J136">
        <v>90</v>
      </c>
      <c r="K136" s="5">
        <v>84</v>
      </c>
      <c r="L136" s="5">
        <v>72</v>
      </c>
      <c r="M136">
        <f t="shared" si="21"/>
        <v>58.5</v>
      </c>
      <c r="N136">
        <f t="shared" si="22"/>
        <v>154.5</v>
      </c>
      <c r="O136">
        <f t="shared" si="23"/>
        <v>145.5</v>
      </c>
      <c r="P136">
        <f t="shared" si="24"/>
        <v>38.5</v>
      </c>
      <c r="Q136">
        <f t="shared" si="25"/>
        <v>9216</v>
      </c>
      <c r="R136">
        <f t="shared" si="26"/>
        <v>7569</v>
      </c>
      <c r="S136">
        <f t="shared" si="27"/>
        <v>400</v>
      </c>
      <c r="T136">
        <f t="shared" si="28"/>
        <v>81</v>
      </c>
      <c r="U136">
        <f t="shared" si="29"/>
        <v>13456</v>
      </c>
      <c r="V136">
        <f t="shared" si="30"/>
        <v>11449</v>
      </c>
    </row>
    <row r="137" spans="1:22" x14ac:dyDescent="0.35">
      <c r="A137" t="s">
        <v>587</v>
      </c>
      <c r="B137" t="s">
        <v>588</v>
      </c>
      <c r="C137" t="s">
        <v>580</v>
      </c>
      <c r="D137" s="1" t="s">
        <v>301</v>
      </c>
      <c r="E137" s="1">
        <v>2024</v>
      </c>
      <c r="F137" s="1" t="s">
        <v>571</v>
      </c>
      <c r="G137" s="4" t="s">
        <v>656</v>
      </c>
      <c r="H137" s="4" t="s">
        <v>655</v>
      </c>
      <c r="I137">
        <v>88</v>
      </c>
      <c r="J137">
        <v>85</v>
      </c>
      <c r="K137" s="5">
        <v>81</v>
      </c>
      <c r="L137" s="5">
        <v>75</v>
      </c>
      <c r="M137">
        <f t="shared" si="21"/>
        <v>99.5</v>
      </c>
      <c r="N137">
        <f t="shared" si="22"/>
        <v>61</v>
      </c>
      <c r="O137">
        <f t="shared" si="23"/>
        <v>107.5</v>
      </c>
      <c r="P137">
        <f t="shared" si="24"/>
        <v>51</v>
      </c>
      <c r="Q137">
        <f t="shared" si="25"/>
        <v>1482.25</v>
      </c>
      <c r="R137">
        <f t="shared" si="26"/>
        <v>64</v>
      </c>
      <c r="S137">
        <f t="shared" si="27"/>
        <v>2352.25</v>
      </c>
      <c r="T137">
        <f t="shared" si="28"/>
        <v>2162.25</v>
      </c>
      <c r="U137">
        <f t="shared" si="29"/>
        <v>100</v>
      </c>
      <c r="V137">
        <f t="shared" si="30"/>
        <v>3192.25</v>
      </c>
    </row>
    <row r="138" spans="1:22" x14ac:dyDescent="0.35">
      <c r="A138" t="s">
        <v>195</v>
      </c>
      <c r="B138" t="s">
        <v>325</v>
      </c>
      <c r="C138" t="s">
        <v>580</v>
      </c>
      <c r="D138" s="1" t="s">
        <v>301</v>
      </c>
      <c r="E138" s="1">
        <v>2024</v>
      </c>
      <c r="F138" s="1" t="s">
        <v>660</v>
      </c>
      <c r="G138" s="4" t="s">
        <v>659</v>
      </c>
      <c r="H138" s="4" t="s">
        <v>658</v>
      </c>
      <c r="I138">
        <v>70</v>
      </c>
      <c r="J138">
        <v>84</v>
      </c>
      <c r="K138" s="5">
        <v>60</v>
      </c>
      <c r="L138" s="5">
        <v>57</v>
      </c>
      <c r="M138">
        <f t="shared" si="21"/>
        <v>4.5</v>
      </c>
      <c r="N138">
        <f t="shared" si="22"/>
        <v>33.5</v>
      </c>
      <c r="O138">
        <f t="shared" si="23"/>
        <v>2.5</v>
      </c>
      <c r="P138">
        <f t="shared" si="24"/>
        <v>5</v>
      </c>
      <c r="Q138">
        <f t="shared" si="25"/>
        <v>841</v>
      </c>
      <c r="R138">
        <f t="shared" si="26"/>
        <v>4</v>
      </c>
      <c r="S138">
        <f t="shared" si="27"/>
        <v>0.25</v>
      </c>
      <c r="T138">
        <f t="shared" si="28"/>
        <v>961</v>
      </c>
      <c r="U138">
        <f t="shared" si="29"/>
        <v>812.25</v>
      </c>
      <c r="V138">
        <f t="shared" si="30"/>
        <v>6.25</v>
      </c>
    </row>
    <row r="139" spans="1:22" x14ac:dyDescent="0.35">
      <c r="A139" t="s">
        <v>81</v>
      </c>
      <c r="B139" t="s">
        <v>589</v>
      </c>
      <c r="C139" t="s">
        <v>580</v>
      </c>
      <c r="D139" s="1" t="s">
        <v>662</v>
      </c>
      <c r="E139" s="1">
        <v>2024</v>
      </c>
      <c r="F139" s="1" t="s">
        <v>664</v>
      </c>
      <c r="G139" s="4" t="s">
        <v>663</v>
      </c>
      <c r="H139" s="4" t="s">
        <v>661</v>
      </c>
      <c r="I139">
        <v>92</v>
      </c>
      <c r="J139">
        <v>90</v>
      </c>
      <c r="K139" s="5">
        <v>84</v>
      </c>
      <c r="L139" s="5">
        <v>87</v>
      </c>
      <c r="M139">
        <f t="shared" si="21"/>
        <v>149.5</v>
      </c>
      <c r="N139">
        <f t="shared" si="22"/>
        <v>154.5</v>
      </c>
      <c r="O139">
        <f t="shared" si="23"/>
        <v>145.5</v>
      </c>
      <c r="P139">
        <f t="shared" si="24"/>
        <v>164</v>
      </c>
      <c r="Q139">
        <f t="shared" si="25"/>
        <v>25</v>
      </c>
      <c r="R139">
        <f t="shared" si="26"/>
        <v>16</v>
      </c>
      <c r="S139">
        <f t="shared" si="27"/>
        <v>210.25</v>
      </c>
      <c r="T139">
        <f t="shared" si="28"/>
        <v>81</v>
      </c>
      <c r="U139">
        <f t="shared" si="29"/>
        <v>90.25</v>
      </c>
      <c r="V139">
        <f t="shared" si="30"/>
        <v>342.25</v>
      </c>
    </row>
    <row r="140" spans="1:22" x14ac:dyDescent="0.35">
      <c r="A140" t="s">
        <v>172</v>
      </c>
      <c r="B140" t="s">
        <v>173</v>
      </c>
      <c r="C140" t="s">
        <v>580</v>
      </c>
      <c r="D140" s="1" t="s">
        <v>541</v>
      </c>
      <c r="E140" s="1">
        <v>2024</v>
      </c>
      <c r="F140" s="1" t="s">
        <v>636</v>
      </c>
      <c r="G140" s="4" t="s">
        <v>666</v>
      </c>
      <c r="H140" s="4" t="s">
        <v>665</v>
      </c>
      <c r="I140">
        <v>67</v>
      </c>
      <c r="J140">
        <v>65</v>
      </c>
      <c r="K140" s="5">
        <v>76</v>
      </c>
      <c r="L140" s="5">
        <v>62</v>
      </c>
      <c r="M140">
        <f t="shared" si="21"/>
        <v>2</v>
      </c>
      <c r="N140">
        <f t="shared" si="22"/>
        <v>1</v>
      </c>
      <c r="O140">
        <f t="shared" si="23"/>
        <v>27.5</v>
      </c>
      <c r="P140">
        <f t="shared" si="24"/>
        <v>10</v>
      </c>
      <c r="Q140">
        <f t="shared" si="25"/>
        <v>1</v>
      </c>
      <c r="R140">
        <f t="shared" si="26"/>
        <v>650.25</v>
      </c>
      <c r="S140">
        <f t="shared" si="27"/>
        <v>64</v>
      </c>
      <c r="T140">
        <f t="shared" si="28"/>
        <v>702.25</v>
      </c>
      <c r="U140">
        <f t="shared" si="29"/>
        <v>81</v>
      </c>
      <c r="V140">
        <f t="shared" si="30"/>
        <v>306.25</v>
      </c>
    </row>
    <row r="141" spans="1:22" x14ac:dyDescent="0.35">
      <c r="A141" t="s">
        <v>14</v>
      </c>
      <c r="B141" t="s">
        <v>590</v>
      </c>
      <c r="C141" t="s">
        <v>580</v>
      </c>
      <c r="D141" s="1" t="s">
        <v>545</v>
      </c>
      <c r="E141" s="1">
        <v>2024</v>
      </c>
      <c r="F141" s="1" t="s">
        <v>572</v>
      </c>
      <c r="G141" s="4" t="s">
        <v>668</v>
      </c>
      <c r="H141" s="4" t="s">
        <v>667</v>
      </c>
      <c r="I141">
        <v>93</v>
      </c>
      <c r="J141">
        <v>87</v>
      </c>
      <c r="K141" s="5">
        <v>82</v>
      </c>
      <c r="L141" s="5">
        <v>80</v>
      </c>
      <c r="M141">
        <f t="shared" si="21"/>
        <v>157.5</v>
      </c>
      <c r="N141">
        <f t="shared" si="22"/>
        <v>121.5</v>
      </c>
      <c r="O141">
        <f t="shared" si="23"/>
        <v>120</v>
      </c>
      <c r="P141">
        <f t="shared" si="24"/>
        <v>127.5</v>
      </c>
      <c r="Q141">
        <f t="shared" si="25"/>
        <v>1296</v>
      </c>
      <c r="R141">
        <f t="shared" si="26"/>
        <v>1406.25</v>
      </c>
      <c r="S141">
        <f t="shared" si="27"/>
        <v>900</v>
      </c>
      <c r="T141">
        <f t="shared" si="28"/>
        <v>2.25</v>
      </c>
      <c r="U141">
        <f t="shared" si="29"/>
        <v>36</v>
      </c>
      <c r="V141">
        <f t="shared" si="30"/>
        <v>56.25</v>
      </c>
    </row>
    <row r="142" spans="1:22" x14ac:dyDescent="0.35">
      <c r="A142" t="s">
        <v>591</v>
      </c>
      <c r="B142" t="s">
        <v>436</v>
      </c>
      <c r="C142" t="s">
        <v>580</v>
      </c>
      <c r="D142" s="1" t="s">
        <v>556</v>
      </c>
      <c r="E142" s="1">
        <v>2024</v>
      </c>
      <c r="F142" s="1" t="s">
        <v>671</v>
      </c>
      <c r="G142" s="4" t="s">
        <v>670</v>
      </c>
      <c r="H142" s="4" t="s">
        <v>669</v>
      </c>
      <c r="I142">
        <v>89</v>
      </c>
      <c r="J142">
        <v>83</v>
      </c>
      <c r="K142" s="5">
        <v>82</v>
      </c>
      <c r="L142" s="5">
        <v>78</v>
      </c>
      <c r="M142">
        <f t="shared" si="21"/>
        <v>111.5</v>
      </c>
      <c r="N142">
        <f t="shared" si="22"/>
        <v>29</v>
      </c>
      <c r="O142">
        <f t="shared" si="23"/>
        <v>120</v>
      </c>
      <c r="P142">
        <f t="shared" si="24"/>
        <v>89.5</v>
      </c>
      <c r="Q142">
        <f t="shared" si="25"/>
        <v>6806.25</v>
      </c>
      <c r="R142">
        <f t="shared" si="26"/>
        <v>72.25</v>
      </c>
      <c r="S142">
        <f t="shared" si="27"/>
        <v>484</v>
      </c>
      <c r="T142">
        <f t="shared" si="28"/>
        <v>8281</v>
      </c>
      <c r="U142">
        <f t="shared" si="29"/>
        <v>3660.25</v>
      </c>
      <c r="V142">
        <f t="shared" si="30"/>
        <v>930.25</v>
      </c>
    </row>
    <row r="143" spans="1:22" x14ac:dyDescent="0.35">
      <c r="A143" t="s">
        <v>591</v>
      </c>
      <c r="B143" t="s">
        <v>111</v>
      </c>
      <c r="C143" t="s">
        <v>580</v>
      </c>
      <c r="D143" s="1" t="s">
        <v>545</v>
      </c>
      <c r="E143" s="1">
        <v>2024</v>
      </c>
      <c r="F143" s="1" t="s">
        <v>671</v>
      </c>
      <c r="G143" s="4" t="s">
        <v>673</v>
      </c>
      <c r="H143" s="4" t="s">
        <v>672</v>
      </c>
      <c r="I143">
        <v>93</v>
      </c>
      <c r="J143">
        <v>87</v>
      </c>
      <c r="K143" s="5">
        <v>82</v>
      </c>
      <c r="L143" s="5">
        <v>80</v>
      </c>
      <c r="M143">
        <f t="shared" si="21"/>
        <v>157.5</v>
      </c>
      <c r="N143">
        <f t="shared" si="22"/>
        <v>121.5</v>
      </c>
      <c r="O143">
        <f t="shared" si="23"/>
        <v>120</v>
      </c>
      <c r="P143">
        <f t="shared" si="24"/>
        <v>127.5</v>
      </c>
      <c r="Q143">
        <f t="shared" si="25"/>
        <v>1296</v>
      </c>
      <c r="R143">
        <f t="shared" si="26"/>
        <v>1406.25</v>
      </c>
      <c r="S143">
        <f t="shared" si="27"/>
        <v>900</v>
      </c>
      <c r="T143">
        <f t="shared" si="28"/>
        <v>2.25</v>
      </c>
      <c r="U143">
        <f t="shared" si="29"/>
        <v>36</v>
      </c>
      <c r="V143">
        <f t="shared" si="30"/>
        <v>56.25</v>
      </c>
    </row>
    <row r="144" spans="1:22" x14ac:dyDescent="0.35">
      <c r="A144" t="s">
        <v>49</v>
      </c>
      <c r="B144" t="s">
        <v>592</v>
      </c>
      <c r="C144" t="s">
        <v>580</v>
      </c>
      <c r="D144" s="1" t="s">
        <v>677</v>
      </c>
      <c r="E144" s="1">
        <v>2024</v>
      </c>
      <c r="F144" s="1" t="s">
        <v>678</v>
      </c>
      <c r="G144" s="4" t="s">
        <v>675</v>
      </c>
      <c r="H144" s="4" t="s">
        <v>674</v>
      </c>
      <c r="I144">
        <v>75</v>
      </c>
      <c r="J144">
        <v>86</v>
      </c>
      <c r="K144" s="5">
        <v>77</v>
      </c>
      <c r="L144" s="5">
        <v>53</v>
      </c>
      <c r="M144">
        <f t="shared" si="21"/>
        <v>14</v>
      </c>
      <c r="N144">
        <f t="shared" si="22"/>
        <v>96.5</v>
      </c>
      <c r="O144">
        <f t="shared" si="23"/>
        <v>42.5</v>
      </c>
      <c r="P144">
        <f t="shared" si="24"/>
        <v>1.5</v>
      </c>
      <c r="Q144">
        <f t="shared" si="25"/>
        <v>6806.25</v>
      </c>
      <c r="R144">
        <f t="shared" si="26"/>
        <v>812.25</v>
      </c>
      <c r="S144">
        <f t="shared" si="27"/>
        <v>156.25</v>
      </c>
      <c r="T144">
        <f t="shared" si="28"/>
        <v>2916</v>
      </c>
      <c r="U144">
        <f t="shared" si="29"/>
        <v>9025</v>
      </c>
      <c r="V144">
        <f t="shared" si="30"/>
        <v>1681</v>
      </c>
    </row>
    <row r="145" spans="1:22" x14ac:dyDescent="0.35">
      <c r="A145" t="s">
        <v>49</v>
      </c>
      <c r="B145" t="s">
        <v>592</v>
      </c>
      <c r="C145" t="s">
        <v>593</v>
      </c>
      <c r="D145" s="1" t="s">
        <v>677</v>
      </c>
      <c r="E145" s="1">
        <v>2024</v>
      </c>
      <c r="F145" s="1" t="s">
        <v>678</v>
      </c>
      <c r="G145" s="4" t="s">
        <v>675</v>
      </c>
      <c r="H145" s="4" t="s">
        <v>679</v>
      </c>
      <c r="I145">
        <v>75</v>
      </c>
      <c r="J145">
        <v>86</v>
      </c>
      <c r="K145" s="5">
        <v>83</v>
      </c>
      <c r="L145" s="5">
        <v>62</v>
      </c>
      <c r="M145">
        <f t="shared" si="21"/>
        <v>14</v>
      </c>
      <c r="N145">
        <f t="shared" si="22"/>
        <v>96.5</v>
      </c>
      <c r="O145">
        <f t="shared" si="23"/>
        <v>132</v>
      </c>
      <c r="P145">
        <f t="shared" si="24"/>
        <v>10</v>
      </c>
      <c r="Q145">
        <f t="shared" si="25"/>
        <v>6806.25</v>
      </c>
      <c r="R145">
        <f t="shared" si="26"/>
        <v>13924</v>
      </c>
      <c r="S145">
        <f t="shared" si="27"/>
        <v>16</v>
      </c>
      <c r="T145">
        <f t="shared" si="28"/>
        <v>1260.25</v>
      </c>
      <c r="U145">
        <f t="shared" si="29"/>
        <v>7482.25</v>
      </c>
      <c r="V145">
        <f t="shared" si="30"/>
        <v>14884</v>
      </c>
    </row>
    <row r="146" spans="1:22" x14ac:dyDescent="0.35">
      <c r="A146" t="s">
        <v>577</v>
      </c>
      <c r="B146" t="s">
        <v>594</v>
      </c>
      <c r="C146" t="s">
        <v>580</v>
      </c>
      <c r="D146" s="1" t="s">
        <v>681</v>
      </c>
      <c r="E146" s="1">
        <v>2024</v>
      </c>
      <c r="F146" s="1" t="s">
        <v>571</v>
      </c>
      <c r="G146" s="4" t="s">
        <v>680</v>
      </c>
      <c r="H146" s="4" t="s">
        <v>682</v>
      </c>
      <c r="I146">
        <v>92</v>
      </c>
      <c r="J146">
        <v>87</v>
      </c>
      <c r="K146" s="5">
        <v>81</v>
      </c>
      <c r="L146" s="5">
        <v>75</v>
      </c>
      <c r="M146">
        <f t="shared" si="21"/>
        <v>149.5</v>
      </c>
      <c r="N146">
        <f t="shared" si="22"/>
        <v>121.5</v>
      </c>
      <c r="O146">
        <f t="shared" si="23"/>
        <v>107.5</v>
      </c>
      <c r="P146">
        <f t="shared" si="24"/>
        <v>51</v>
      </c>
      <c r="Q146">
        <f t="shared" si="25"/>
        <v>784</v>
      </c>
      <c r="R146">
        <f t="shared" si="26"/>
        <v>1764</v>
      </c>
      <c r="S146">
        <f t="shared" si="27"/>
        <v>9702.25</v>
      </c>
      <c r="T146">
        <f t="shared" si="28"/>
        <v>196</v>
      </c>
      <c r="U146">
        <f t="shared" si="29"/>
        <v>4970.25</v>
      </c>
      <c r="V146">
        <f t="shared" si="30"/>
        <v>3192.25</v>
      </c>
    </row>
    <row r="147" spans="1:22" x14ac:dyDescent="0.35">
      <c r="A147" t="s">
        <v>14</v>
      </c>
      <c r="B147" t="s">
        <v>595</v>
      </c>
      <c r="C147" t="s">
        <v>580</v>
      </c>
      <c r="D147" s="1" t="s">
        <v>301</v>
      </c>
      <c r="E147" s="1">
        <v>2024</v>
      </c>
      <c r="F147" s="1" t="s">
        <v>671</v>
      </c>
      <c r="G147" s="4" t="s">
        <v>684</v>
      </c>
      <c r="H147" s="4" t="s">
        <v>683</v>
      </c>
      <c r="I147">
        <v>83</v>
      </c>
      <c r="J147">
        <v>88</v>
      </c>
      <c r="K147" s="5">
        <v>84</v>
      </c>
      <c r="L147" s="5">
        <v>78</v>
      </c>
      <c r="M147">
        <f t="shared" si="21"/>
        <v>58.5</v>
      </c>
      <c r="N147">
        <f t="shared" si="22"/>
        <v>140</v>
      </c>
      <c r="O147">
        <f t="shared" si="23"/>
        <v>145.5</v>
      </c>
      <c r="P147">
        <f t="shared" si="24"/>
        <v>89.5</v>
      </c>
      <c r="Q147">
        <f t="shared" si="25"/>
        <v>6642.25</v>
      </c>
      <c r="R147">
        <f t="shared" si="26"/>
        <v>7569</v>
      </c>
      <c r="S147">
        <f t="shared" si="27"/>
        <v>961</v>
      </c>
      <c r="T147">
        <f t="shared" si="28"/>
        <v>30.25</v>
      </c>
      <c r="U147">
        <f t="shared" si="29"/>
        <v>2550.25</v>
      </c>
      <c r="V147">
        <f t="shared" si="30"/>
        <v>3136</v>
      </c>
    </row>
    <row r="148" spans="1:22" x14ac:dyDescent="0.35">
      <c r="A148" t="s">
        <v>596</v>
      </c>
      <c r="B148" t="s">
        <v>685</v>
      </c>
      <c r="C148" t="s">
        <v>580</v>
      </c>
      <c r="D148" s="1" t="s">
        <v>662</v>
      </c>
      <c r="E148" s="1">
        <v>2024</v>
      </c>
      <c r="F148" s="1" t="s">
        <v>571</v>
      </c>
      <c r="G148" s="4" t="s">
        <v>687</v>
      </c>
      <c r="H148" s="4" t="s">
        <v>686</v>
      </c>
      <c r="I148">
        <v>89</v>
      </c>
      <c r="J148">
        <v>88</v>
      </c>
      <c r="K148" s="5">
        <v>84</v>
      </c>
      <c r="L148" s="5">
        <v>83</v>
      </c>
      <c r="M148">
        <f t="shared" si="21"/>
        <v>111.5</v>
      </c>
      <c r="N148">
        <f t="shared" si="22"/>
        <v>140</v>
      </c>
      <c r="O148">
        <f t="shared" si="23"/>
        <v>145.5</v>
      </c>
      <c r="P148">
        <f t="shared" si="24"/>
        <v>148</v>
      </c>
      <c r="Q148">
        <f t="shared" si="25"/>
        <v>812.25</v>
      </c>
      <c r="R148">
        <f t="shared" si="26"/>
        <v>1156</v>
      </c>
      <c r="S148">
        <f t="shared" si="27"/>
        <v>1332.25</v>
      </c>
      <c r="T148">
        <f t="shared" si="28"/>
        <v>30.25</v>
      </c>
      <c r="U148">
        <f t="shared" si="29"/>
        <v>64</v>
      </c>
      <c r="V148">
        <f t="shared" si="30"/>
        <v>6.25</v>
      </c>
    </row>
    <row r="149" spans="1:22" x14ac:dyDescent="0.35">
      <c r="A149" t="s">
        <v>596</v>
      </c>
      <c r="B149" t="s">
        <v>597</v>
      </c>
      <c r="C149" t="s">
        <v>580</v>
      </c>
      <c r="D149" s="1" t="s">
        <v>301</v>
      </c>
      <c r="E149" s="1">
        <v>2024</v>
      </c>
      <c r="F149" s="1" t="s">
        <v>571</v>
      </c>
      <c r="G149" s="4" t="s">
        <v>689</v>
      </c>
      <c r="H149" s="4" t="s">
        <v>688</v>
      </c>
      <c r="I149">
        <v>91</v>
      </c>
      <c r="J149">
        <v>90</v>
      </c>
      <c r="K149" s="5">
        <v>84</v>
      </c>
      <c r="L149" s="5">
        <v>83</v>
      </c>
      <c r="M149">
        <f t="shared" si="21"/>
        <v>141</v>
      </c>
      <c r="N149">
        <f t="shared" si="22"/>
        <v>154.5</v>
      </c>
      <c r="O149">
        <f t="shared" si="23"/>
        <v>145.5</v>
      </c>
      <c r="P149">
        <f t="shared" si="24"/>
        <v>148</v>
      </c>
      <c r="Q149">
        <f t="shared" si="25"/>
        <v>182.25</v>
      </c>
      <c r="R149">
        <f t="shared" si="26"/>
        <v>20.25</v>
      </c>
      <c r="S149">
        <f t="shared" si="27"/>
        <v>49</v>
      </c>
      <c r="T149">
        <f t="shared" si="28"/>
        <v>81</v>
      </c>
      <c r="U149">
        <f t="shared" si="29"/>
        <v>42.25</v>
      </c>
      <c r="V149">
        <f t="shared" si="30"/>
        <v>6.25</v>
      </c>
    </row>
    <row r="150" spans="1:22" x14ac:dyDescent="0.35">
      <c r="A150" t="s">
        <v>68</v>
      </c>
      <c r="B150" t="s">
        <v>418</v>
      </c>
      <c r="C150" t="s">
        <v>580</v>
      </c>
      <c r="D150" s="1" t="s">
        <v>301</v>
      </c>
      <c r="E150" s="1">
        <v>2024</v>
      </c>
      <c r="F150" s="1" t="s">
        <v>573</v>
      </c>
      <c r="G150" s="4" t="s">
        <v>690</v>
      </c>
      <c r="H150" s="4" t="s">
        <v>691</v>
      </c>
      <c r="I150">
        <v>85</v>
      </c>
      <c r="J150">
        <v>86</v>
      </c>
      <c r="K150" s="5">
        <v>76</v>
      </c>
      <c r="L150" s="5">
        <v>67</v>
      </c>
      <c r="M150">
        <f t="shared" si="21"/>
        <v>77</v>
      </c>
      <c r="N150">
        <f t="shared" si="22"/>
        <v>96.5</v>
      </c>
      <c r="O150">
        <f t="shared" si="23"/>
        <v>27.5</v>
      </c>
      <c r="P150">
        <f t="shared" si="24"/>
        <v>21.5</v>
      </c>
      <c r="Q150">
        <f t="shared" si="25"/>
        <v>380.25</v>
      </c>
      <c r="R150">
        <f t="shared" si="26"/>
        <v>2450.25</v>
      </c>
      <c r="S150">
        <f t="shared" si="27"/>
        <v>3080.25</v>
      </c>
      <c r="T150">
        <f t="shared" si="28"/>
        <v>4761</v>
      </c>
      <c r="U150">
        <f t="shared" si="29"/>
        <v>5625</v>
      </c>
      <c r="V150">
        <f t="shared" si="30"/>
        <v>36</v>
      </c>
    </row>
    <row r="151" spans="1:22" x14ac:dyDescent="0.35">
      <c r="A151" t="s">
        <v>68</v>
      </c>
      <c r="B151" t="s">
        <v>418</v>
      </c>
      <c r="C151" t="s">
        <v>593</v>
      </c>
      <c r="D151" s="1" t="s">
        <v>301</v>
      </c>
      <c r="E151" s="1">
        <v>2024</v>
      </c>
      <c r="F151" s="1" t="s">
        <v>573</v>
      </c>
      <c r="G151" s="4" t="s">
        <v>693</v>
      </c>
      <c r="H151" s="4" t="s">
        <v>692</v>
      </c>
      <c r="I151">
        <v>85</v>
      </c>
      <c r="J151">
        <v>86</v>
      </c>
      <c r="K151" s="5">
        <v>80</v>
      </c>
      <c r="L151" s="5">
        <v>79</v>
      </c>
      <c r="M151">
        <f t="shared" si="21"/>
        <v>77</v>
      </c>
      <c r="N151">
        <f t="shared" si="22"/>
        <v>96.5</v>
      </c>
      <c r="O151">
        <f t="shared" si="23"/>
        <v>89.5</v>
      </c>
      <c r="P151">
        <f t="shared" si="24"/>
        <v>108.5</v>
      </c>
      <c r="Q151">
        <f t="shared" si="25"/>
        <v>380.25</v>
      </c>
      <c r="R151">
        <f t="shared" si="26"/>
        <v>156.25</v>
      </c>
      <c r="S151">
        <f t="shared" si="27"/>
        <v>992.25</v>
      </c>
      <c r="T151">
        <f t="shared" si="28"/>
        <v>49</v>
      </c>
      <c r="U151">
        <f t="shared" si="29"/>
        <v>144</v>
      </c>
      <c r="V151">
        <f t="shared" si="30"/>
        <v>361</v>
      </c>
    </row>
    <row r="152" spans="1:22" x14ac:dyDescent="0.35">
      <c r="A152" t="s">
        <v>598</v>
      </c>
      <c r="B152" t="s">
        <v>599</v>
      </c>
      <c r="C152" t="s">
        <v>580</v>
      </c>
      <c r="D152" s="1" t="s">
        <v>556</v>
      </c>
      <c r="E152" s="1">
        <v>2024</v>
      </c>
      <c r="F152" s="1" t="s">
        <v>571</v>
      </c>
      <c r="G152" s="4" t="s">
        <v>694</v>
      </c>
      <c r="H152" s="4" t="s">
        <v>695</v>
      </c>
      <c r="I152">
        <v>93</v>
      </c>
      <c r="J152">
        <v>85</v>
      </c>
      <c r="K152" s="5">
        <v>78</v>
      </c>
      <c r="L152" s="5">
        <v>76</v>
      </c>
      <c r="M152">
        <f t="shared" si="21"/>
        <v>157.5</v>
      </c>
      <c r="N152">
        <f t="shared" si="22"/>
        <v>61</v>
      </c>
      <c r="O152">
        <f t="shared" si="23"/>
        <v>56</v>
      </c>
      <c r="P152">
        <f t="shared" si="24"/>
        <v>58</v>
      </c>
      <c r="Q152">
        <f t="shared" si="25"/>
        <v>9312.25</v>
      </c>
      <c r="R152">
        <f t="shared" si="26"/>
        <v>10302.25</v>
      </c>
      <c r="S152">
        <f t="shared" si="27"/>
        <v>9900.25</v>
      </c>
      <c r="T152">
        <f t="shared" si="28"/>
        <v>25</v>
      </c>
      <c r="U152">
        <f t="shared" si="29"/>
        <v>9</v>
      </c>
      <c r="V152">
        <f t="shared" si="30"/>
        <v>4</v>
      </c>
    </row>
    <row r="153" spans="1:22" x14ac:dyDescent="0.35">
      <c r="A153" t="s">
        <v>45</v>
      </c>
      <c r="B153" t="s">
        <v>327</v>
      </c>
      <c r="C153" t="s">
        <v>580</v>
      </c>
      <c r="D153" s="1" t="s">
        <v>301</v>
      </c>
      <c r="E153" s="1">
        <v>2024</v>
      </c>
      <c r="F153" s="1" t="s">
        <v>570</v>
      </c>
      <c r="G153" s="4" t="s">
        <v>696</v>
      </c>
      <c r="H153" s="4" t="s">
        <v>697</v>
      </c>
      <c r="I153">
        <v>85</v>
      </c>
      <c r="J153">
        <v>86</v>
      </c>
      <c r="K153" s="5">
        <v>86</v>
      </c>
      <c r="L153" s="5">
        <v>79</v>
      </c>
      <c r="M153">
        <f t="shared" si="21"/>
        <v>77</v>
      </c>
      <c r="N153">
        <f t="shared" si="22"/>
        <v>96.5</v>
      </c>
      <c r="O153">
        <f t="shared" si="23"/>
        <v>162</v>
      </c>
      <c r="P153">
        <f t="shared" si="24"/>
        <v>108.5</v>
      </c>
      <c r="Q153">
        <f t="shared" si="25"/>
        <v>380.25</v>
      </c>
      <c r="R153">
        <f t="shared" si="26"/>
        <v>7225</v>
      </c>
      <c r="S153">
        <f t="shared" si="27"/>
        <v>992.25</v>
      </c>
      <c r="T153">
        <f t="shared" si="28"/>
        <v>4290.25</v>
      </c>
      <c r="U153">
        <f t="shared" si="29"/>
        <v>144</v>
      </c>
      <c r="V153">
        <f t="shared" si="30"/>
        <v>2862.25</v>
      </c>
    </row>
    <row r="154" spans="1:22" x14ac:dyDescent="0.35">
      <c r="A154" t="s">
        <v>37</v>
      </c>
      <c r="B154" t="s">
        <v>600</v>
      </c>
      <c r="C154" t="s">
        <v>580</v>
      </c>
      <c r="D154" s="1" t="s">
        <v>545</v>
      </c>
      <c r="E154" s="1">
        <v>2023</v>
      </c>
      <c r="F154" s="1" t="s">
        <v>699</v>
      </c>
      <c r="G154" s="4" t="s">
        <v>700</v>
      </c>
      <c r="H154" s="4" t="s">
        <v>698</v>
      </c>
      <c r="I154">
        <v>89</v>
      </c>
      <c r="J154">
        <v>85</v>
      </c>
      <c r="K154" s="5">
        <v>86</v>
      </c>
      <c r="L154" s="5">
        <v>78</v>
      </c>
      <c r="M154">
        <f t="shared" si="21"/>
        <v>111.5</v>
      </c>
      <c r="N154">
        <f t="shared" si="22"/>
        <v>61</v>
      </c>
      <c r="O154">
        <f t="shared" si="23"/>
        <v>162</v>
      </c>
      <c r="P154">
        <f t="shared" si="24"/>
        <v>89.5</v>
      </c>
      <c r="Q154">
        <f t="shared" si="25"/>
        <v>2550.25</v>
      </c>
      <c r="R154">
        <f t="shared" si="26"/>
        <v>2550.25</v>
      </c>
      <c r="S154">
        <f t="shared" si="27"/>
        <v>484</v>
      </c>
      <c r="T154">
        <f t="shared" si="28"/>
        <v>10201</v>
      </c>
      <c r="U154">
        <f t="shared" si="29"/>
        <v>812.25</v>
      </c>
      <c r="V154">
        <f t="shared" si="30"/>
        <v>5256.25</v>
      </c>
    </row>
    <row r="155" spans="1:22" x14ac:dyDescent="0.35">
      <c r="A155" t="s">
        <v>102</v>
      </c>
      <c r="B155" t="s">
        <v>601</v>
      </c>
      <c r="C155" t="s">
        <v>580</v>
      </c>
      <c r="D155" s="1" t="s">
        <v>301</v>
      </c>
      <c r="E155" s="1">
        <v>2023</v>
      </c>
      <c r="F155" s="1" t="s">
        <v>701</v>
      </c>
      <c r="G155" s="4" t="s">
        <v>702</v>
      </c>
      <c r="H155" s="4" t="s">
        <v>705</v>
      </c>
      <c r="I155">
        <v>90</v>
      </c>
      <c r="J155">
        <v>86</v>
      </c>
      <c r="K155" s="5">
        <v>83</v>
      </c>
      <c r="L155" s="5">
        <v>77</v>
      </c>
      <c r="M155">
        <f t="shared" si="21"/>
        <v>127.5</v>
      </c>
      <c r="N155">
        <f t="shared" si="22"/>
        <v>96.5</v>
      </c>
      <c r="O155">
        <f t="shared" si="23"/>
        <v>132</v>
      </c>
      <c r="P155">
        <f t="shared" si="24"/>
        <v>71.5</v>
      </c>
      <c r="Q155">
        <f t="shared" si="25"/>
        <v>961</v>
      </c>
      <c r="R155">
        <f t="shared" si="26"/>
        <v>20.25</v>
      </c>
      <c r="S155">
        <f t="shared" si="27"/>
        <v>3136</v>
      </c>
      <c r="T155">
        <f t="shared" si="28"/>
        <v>1260.25</v>
      </c>
      <c r="U155">
        <f t="shared" si="29"/>
        <v>625</v>
      </c>
      <c r="V155">
        <f t="shared" si="30"/>
        <v>3660.25</v>
      </c>
    </row>
    <row r="156" spans="1:22" x14ac:dyDescent="0.35">
      <c r="A156" t="s">
        <v>102</v>
      </c>
      <c r="B156" t="s">
        <v>602</v>
      </c>
      <c r="C156" t="s">
        <v>580</v>
      </c>
      <c r="D156" s="1" t="s">
        <v>556</v>
      </c>
      <c r="E156" s="1">
        <v>2023</v>
      </c>
      <c r="F156" s="1" t="s">
        <v>571</v>
      </c>
      <c r="G156" s="4" t="s">
        <v>706</v>
      </c>
      <c r="H156" s="4" t="s">
        <v>703</v>
      </c>
      <c r="I156">
        <v>87</v>
      </c>
      <c r="J156">
        <v>87</v>
      </c>
      <c r="K156" s="5">
        <v>80</v>
      </c>
      <c r="L156" s="5">
        <v>73</v>
      </c>
      <c r="M156">
        <f t="shared" si="21"/>
        <v>90</v>
      </c>
      <c r="N156">
        <f t="shared" si="22"/>
        <v>121.5</v>
      </c>
      <c r="O156">
        <f t="shared" si="23"/>
        <v>89.5</v>
      </c>
      <c r="P156">
        <f t="shared" si="24"/>
        <v>44.5</v>
      </c>
      <c r="Q156">
        <f t="shared" si="25"/>
        <v>992.25</v>
      </c>
      <c r="R156">
        <f t="shared" si="26"/>
        <v>0.25</v>
      </c>
      <c r="S156">
        <f t="shared" si="27"/>
        <v>2070.25</v>
      </c>
      <c r="T156">
        <f t="shared" si="28"/>
        <v>1024</v>
      </c>
      <c r="U156">
        <f t="shared" si="29"/>
        <v>5929</v>
      </c>
      <c r="V156">
        <f t="shared" si="30"/>
        <v>2025</v>
      </c>
    </row>
    <row r="157" spans="1:22" x14ac:dyDescent="0.35">
      <c r="A157" t="s">
        <v>68</v>
      </c>
      <c r="B157" t="s">
        <v>388</v>
      </c>
      <c r="C157" t="s">
        <v>580</v>
      </c>
      <c r="D157" s="1" t="s">
        <v>301</v>
      </c>
      <c r="E157" s="1">
        <v>2023</v>
      </c>
      <c r="F157" s="1" t="s">
        <v>570</v>
      </c>
      <c r="G157" s="4" t="s">
        <v>708</v>
      </c>
      <c r="H157" s="4" t="s">
        <v>707</v>
      </c>
      <c r="I157">
        <v>79</v>
      </c>
      <c r="J157">
        <v>86</v>
      </c>
      <c r="K157" s="5">
        <v>81</v>
      </c>
      <c r="L157" s="5">
        <v>68</v>
      </c>
      <c r="M157">
        <f t="shared" si="21"/>
        <v>28.5</v>
      </c>
      <c r="N157">
        <f t="shared" si="22"/>
        <v>96.5</v>
      </c>
      <c r="O157">
        <f t="shared" si="23"/>
        <v>107.5</v>
      </c>
      <c r="P157">
        <f t="shared" si="24"/>
        <v>25.5</v>
      </c>
      <c r="Q157">
        <f t="shared" si="25"/>
        <v>4624</v>
      </c>
      <c r="R157">
        <f t="shared" si="26"/>
        <v>6241</v>
      </c>
      <c r="S157">
        <f t="shared" si="27"/>
        <v>9</v>
      </c>
      <c r="T157">
        <f t="shared" si="28"/>
        <v>121</v>
      </c>
      <c r="U157">
        <f t="shared" si="29"/>
        <v>5041</v>
      </c>
      <c r="V157">
        <f t="shared" si="30"/>
        <v>6724</v>
      </c>
    </row>
    <row r="158" spans="1:22" x14ac:dyDescent="0.35">
      <c r="A158" t="s">
        <v>29</v>
      </c>
      <c r="B158" t="s">
        <v>603</v>
      </c>
      <c r="C158" t="s">
        <v>580</v>
      </c>
      <c r="D158" s="1" t="s">
        <v>301</v>
      </c>
      <c r="E158" s="1">
        <v>2023</v>
      </c>
      <c r="F158" s="1" t="s">
        <v>710</v>
      </c>
      <c r="G158" s="4" t="s">
        <v>709</v>
      </c>
      <c r="H158" s="4" t="s">
        <v>711</v>
      </c>
      <c r="I158">
        <v>80</v>
      </c>
      <c r="J158">
        <v>83</v>
      </c>
      <c r="K158" s="5">
        <v>64</v>
      </c>
      <c r="L158" s="5">
        <v>60</v>
      </c>
      <c r="M158">
        <f t="shared" si="21"/>
        <v>36.5</v>
      </c>
      <c r="N158">
        <f t="shared" si="22"/>
        <v>29</v>
      </c>
      <c r="O158">
        <f t="shared" si="23"/>
        <v>4.5</v>
      </c>
      <c r="P158">
        <f t="shared" si="24"/>
        <v>6</v>
      </c>
      <c r="Q158">
        <f t="shared" si="25"/>
        <v>56.25</v>
      </c>
      <c r="R158">
        <f t="shared" si="26"/>
        <v>1024</v>
      </c>
      <c r="S158">
        <f t="shared" si="27"/>
        <v>930.25</v>
      </c>
      <c r="T158">
        <f t="shared" si="28"/>
        <v>600.25</v>
      </c>
      <c r="U158">
        <f t="shared" si="29"/>
        <v>529</v>
      </c>
      <c r="V158">
        <f t="shared" si="30"/>
        <v>2.25</v>
      </c>
    </row>
    <row r="159" spans="1:22" x14ac:dyDescent="0.35">
      <c r="A159" t="s">
        <v>24</v>
      </c>
      <c r="B159" t="s">
        <v>472</v>
      </c>
      <c r="C159" t="s">
        <v>580</v>
      </c>
      <c r="D159" s="1" t="s">
        <v>556</v>
      </c>
      <c r="E159" s="1">
        <v>2023</v>
      </c>
      <c r="F159" s="1" t="s">
        <v>571</v>
      </c>
      <c r="G159" s="4" t="s">
        <v>712</v>
      </c>
      <c r="H159" s="4" t="s">
        <v>713</v>
      </c>
      <c r="I159">
        <v>84</v>
      </c>
      <c r="J159">
        <v>88</v>
      </c>
      <c r="K159" s="5">
        <v>76</v>
      </c>
      <c r="L159" s="5">
        <v>83</v>
      </c>
      <c r="M159">
        <f t="shared" si="21"/>
        <v>69.5</v>
      </c>
      <c r="N159">
        <f t="shared" si="22"/>
        <v>140</v>
      </c>
      <c r="O159">
        <f t="shared" si="23"/>
        <v>27.5</v>
      </c>
      <c r="P159">
        <f t="shared" si="24"/>
        <v>148</v>
      </c>
      <c r="Q159">
        <f t="shared" si="25"/>
        <v>4970.25</v>
      </c>
      <c r="R159">
        <f t="shared" si="26"/>
        <v>1764</v>
      </c>
      <c r="S159">
        <f t="shared" si="27"/>
        <v>6162.25</v>
      </c>
      <c r="T159">
        <f t="shared" si="28"/>
        <v>12656.25</v>
      </c>
      <c r="U159">
        <f t="shared" si="29"/>
        <v>64</v>
      </c>
      <c r="V159">
        <f t="shared" si="30"/>
        <v>14520.25</v>
      </c>
    </row>
    <row r="160" spans="1:22" x14ac:dyDescent="0.35">
      <c r="A160" t="s">
        <v>715</v>
      </c>
      <c r="B160" t="s">
        <v>604</v>
      </c>
      <c r="C160" t="s">
        <v>580</v>
      </c>
      <c r="D160" s="1" t="s">
        <v>556</v>
      </c>
      <c r="E160" s="1">
        <v>2023</v>
      </c>
      <c r="F160" s="1" t="s">
        <v>571</v>
      </c>
      <c r="G160" s="4" t="s">
        <v>689</v>
      </c>
      <c r="H160" s="4" t="s">
        <v>714</v>
      </c>
      <c r="I160">
        <v>87</v>
      </c>
      <c r="J160">
        <v>90</v>
      </c>
      <c r="K160" s="5">
        <v>80</v>
      </c>
      <c r="L160" s="5">
        <v>85</v>
      </c>
      <c r="M160">
        <f t="shared" si="21"/>
        <v>90</v>
      </c>
      <c r="N160">
        <f t="shared" si="22"/>
        <v>154.5</v>
      </c>
      <c r="O160">
        <f t="shared" si="23"/>
        <v>89.5</v>
      </c>
      <c r="P160">
        <f t="shared" si="24"/>
        <v>156.5</v>
      </c>
      <c r="Q160">
        <f t="shared" si="25"/>
        <v>4160.25</v>
      </c>
      <c r="R160">
        <f t="shared" si="26"/>
        <v>0.25</v>
      </c>
      <c r="S160">
        <f t="shared" si="27"/>
        <v>4422.25</v>
      </c>
      <c r="T160">
        <f t="shared" si="28"/>
        <v>4225</v>
      </c>
      <c r="U160">
        <f t="shared" si="29"/>
        <v>4</v>
      </c>
      <c r="V160">
        <f t="shared" si="30"/>
        <v>4489</v>
      </c>
    </row>
    <row r="161" spans="1:22" x14ac:dyDescent="0.35">
      <c r="A161" t="s">
        <v>605</v>
      </c>
      <c r="B161" t="s">
        <v>344</v>
      </c>
      <c r="C161" t="s">
        <v>580</v>
      </c>
      <c r="D161" s="1" t="s">
        <v>542</v>
      </c>
      <c r="E161" s="1">
        <v>2023</v>
      </c>
      <c r="F161" s="1" t="s">
        <v>571</v>
      </c>
      <c r="G161" s="4" t="s">
        <v>717</v>
      </c>
      <c r="H161" s="4" t="s">
        <v>716</v>
      </c>
      <c r="I161">
        <v>90</v>
      </c>
      <c r="J161">
        <v>86</v>
      </c>
      <c r="K161" s="5">
        <v>84</v>
      </c>
      <c r="L161" s="5">
        <v>85</v>
      </c>
      <c r="M161">
        <f t="shared" si="21"/>
        <v>127.5</v>
      </c>
      <c r="N161">
        <f t="shared" si="22"/>
        <v>96.5</v>
      </c>
      <c r="O161">
        <f t="shared" si="23"/>
        <v>145.5</v>
      </c>
      <c r="P161">
        <f t="shared" si="24"/>
        <v>156.5</v>
      </c>
      <c r="Q161">
        <f t="shared" si="25"/>
        <v>961</v>
      </c>
      <c r="R161">
        <f t="shared" si="26"/>
        <v>324</v>
      </c>
      <c r="S161">
        <f t="shared" si="27"/>
        <v>841</v>
      </c>
      <c r="T161">
        <f t="shared" si="28"/>
        <v>2401</v>
      </c>
      <c r="U161">
        <f t="shared" si="29"/>
        <v>3600</v>
      </c>
      <c r="V161">
        <f t="shared" si="30"/>
        <v>121</v>
      </c>
    </row>
    <row r="162" spans="1:22" x14ac:dyDescent="0.35">
      <c r="A162" t="s">
        <v>606</v>
      </c>
      <c r="B162" t="s">
        <v>607</v>
      </c>
      <c r="C162" t="s">
        <v>580</v>
      </c>
      <c r="D162" s="1" t="s">
        <v>556</v>
      </c>
      <c r="E162" s="1">
        <v>2023</v>
      </c>
      <c r="F162" s="1" t="s">
        <v>571</v>
      </c>
      <c r="G162" s="4" t="s">
        <v>719</v>
      </c>
      <c r="H162" s="4" t="s">
        <v>718</v>
      </c>
      <c r="I162">
        <v>76</v>
      </c>
      <c r="J162">
        <v>89</v>
      </c>
      <c r="K162" s="5">
        <v>77</v>
      </c>
      <c r="L162" s="5">
        <v>79</v>
      </c>
      <c r="M162">
        <f t="shared" si="21"/>
        <v>17.5</v>
      </c>
      <c r="N162">
        <f t="shared" si="22"/>
        <v>147.5</v>
      </c>
      <c r="O162">
        <f t="shared" si="23"/>
        <v>42.5</v>
      </c>
      <c r="P162">
        <f t="shared" si="24"/>
        <v>108.5</v>
      </c>
      <c r="Q162">
        <f t="shared" si="25"/>
        <v>16900</v>
      </c>
      <c r="R162">
        <f t="shared" si="26"/>
        <v>625</v>
      </c>
      <c r="S162">
        <f t="shared" si="27"/>
        <v>8281</v>
      </c>
      <c r="T162">
        <f t="shared" si="28"/>
        <v>11025</v>
      </c>
      <c r="U162">
        <f t="shared" si="29"/>
        <v>1521</v>
      </c>
      <c r="V162">
        <f t="shared" si="30"/>
        <v>4356</v>
      </c>
    </row>
    <row r="163" spans="1:22" x14ac:dyDescent="0.35">
      <c r="A163" t="s">
        <v>14</v>
      </c>
      <c r="B163" t="s">
        <v>120</v>
      </c>
      <c r="C163" t="s">
        <v>580</v>
      </c>
      <c r="D163" s="1" t="s">
        <v>545</v>
      </c>
      <c r="E163" s="1">
        <v>2023</v>
      </c>
      <c r="F163" s="1" t="s">
        <v>571</v>
      </c>
      <c r="G163" s="4" t="s">
        <v>721</v>
      </c>
      <c r="H163" s="4" t="s">
        <v>720</v>
      </c>
      <c r="I163">
        <v>95</v>
      </c>
      <c r="J163">
        <v>88</v>
      </c>
      <c r="K163" s="5">
        <v>83</v>
      </c>
      <c r="L163" s="5">
        <v>80</v>
      </c>
      <c r="M163">
        <f t="shared" si="21"/>
        <v>166</v>
      </c>
      <c r="N163">
        <f t="shared" si="22"/>
        <v>140</v>
      </c>
      <c r="O163">
        <f t="shared" si="23"/>
        <v>132</v>
      </c>
      <c r="P163">
        <f t="shared" si="24"/>
        <v>127.5</v>
      </c>
      <c r="Q163">
        <f t="shared" si="25"/>
        <v>676</v>
      </c>
      <c r="R163">
        <f t="shared" si="26"/>
        <v>1156</v>
      </c>
      <c r="S163">
        <f t="shared" si="27"/>
        <v>1482.25</v>
      </c>
      <c r="T163">
        <f t="shared" si="28"/>
        <v>64</v>
      </c>
      <c r="U163">
        <f t="shared" si="29"/>
        <v>156.25</v>
      </c>
      <c r="V163">
        <f t="shared" si="30"/>
        <v>20.25</v>
      </c>
    </row>
    <row r="164" spans="1:22" x14ac:dyDescent="0.35">
      <c r="A164" t="s">
        <v>587</v>
      </c>
      <c r="B164" t="s">
        <v>608</v>
      </c>
      <c r="C164" t="s">
        <v>580</v>
      </c>
      <c r="D164" s="1" t="s">
        <v>556</v>
      </c>
      <c r="E164" s="1">
        <v>2023</v>
      </c>
      <c r="F164" s="1" t="s">
        <v>571</v>
      </c>
      <c r="G164" s="4" t="s">
        <v>722</v>
      </c>
      <c r="H164" s="4" t="s">
        <v>723</v>
      </c>
      <c r="I164">
        <v>85</v>
      </c>
      <c r="J164">
        <v>85</v>
      </c>
      <c r="K164" s="5">
        <v>78</v>
      </c>
      <c r="L164" s="5">
        <v>78</v>
      </c>
      <c r="M164">
        <f t="shared" si="21"/>
        <v>77</v>
      </c>
      <c r="N164">
        <f t="shared" si="22"/>
        <v>61</v>
      </c>
      <c r="O164">
        <f t="shared" si="23"/>
        <v>56</v>
      </c>
      <c r="P164">
        <f t="shared" si="24"/>
        <v>89.5</v>
      </c>
      <c r="Q164">
        <f t="shared" si="25"/>
        <v>256</v>
      </c>
      <c r="R164">
        <f t="shared" si="26"/>
        <v>441</v>
      </c>
      <c r="S164">
        <f t="shared" si="27"/>
        <v>156.25</v>
      </c>
      <c r="T164">
        <f t="shared" si="28"/>
        <v>25</v>
      </c>
      <c r="U164">
        <f t="shared" si="29"/>
        <v>812.25</v>
      </c>
      <c r="V164">
        <f t="shared" si="30"/>
        <v>1122.25</v>
      </c>
    </row>
    <row r="165" spans="1:22" x14ac:dyDescent="0.35">
      <c r="A165" t="s">
        <v>102</v>
      </c>
      <c r="B165" t="s">
        <v>609</v>
      </c>
      <c r="C165" t="s">
        <v>580</v>
      </c>
      <c r="D165" s="1" t="s">
        <v>542</v>
      </c>
      <c r="E165" s="1">
        <v>2023</v>
      </c>
      <c r="F165" s="1" t="s">
        <v>571</v>
      </c>
      <c r="G165" s="4" t="s">
        <v>724</v>
      </c>
      <c r="H165" s="4" t="s">
        <v>704</v>
      </c>
      <c r="I165">
        <v>89</v>
      </c>
      <c r="J165">
        <v>87</v>
      </c>
      <c r="K165" s="5">
        <v>85</v>
      </c>
      <c r="L165" s="5">
        <v>79</v>
      </c>
      <c r="M165">
        <f t="shared" si="21"/>
        <v>111.5</v>
      </c>
      <c r="N165">
        <f t="shared" si="22"/>
        <v>121.5</v>
      </c>
      <c r="O165">
        <f t="shared" si="23"/>
        <v>156</v>
      </c>
      <c r="P165">
        <f t="shared" si="24"/>
        <v>108.5</v>
      </c>
      <c r="Q165">
        <f t="shared" si="25"/>
        <v>100</v>
      </c>
      <c r="R165">
        <f t="shared" si="26"/>
        <v>1980.25</v>
      </c>
      <c r="S165">
        <f t="shared" si="27"/>
        <v>9</v>
      </c>
      <c r="T165">
        <f t="shared" si="28"/>
        <v>1190.25</v>
      </c>
      <c r="U165">
        <f t="shared" si="29"/>
        <v>169</v>
      </c>
      <c r="V165">
        <f t="shared" si="30"/>
        <v>2256.25</v>
      </c>
    </row>
    <row r="166" spans="1:22" x14ac:dyDescent="0.35">
      <c r="A166" t="s">
        <v>102</v>
      </c>
      <c r="B166" t="s">
        <v>610</v>
      </c>
      <c r="C166" t="s">
        <v>580</v>
      </c>
      <c r="D166" s="1" t="s">
        <v>545</v>
      </c>
      <c r="E166" s="1">
        <v>2023</v>
      </c>
      <c r="F166" s="1" t="s">
        <v>571</v>
      </c>
      <c r="G166" s="4" t="s">
        <v>725</v>
      </c>
      <c r="H166" s="4" t="s">
        <v>704</v>
      </c>
      <c r="I166">
        <v>89</v>
      </c>
      <c r="J166">
        <v>87</v>
      </c>
      <c r="K166" s="5">
        <v>82</v>
      </c>
      <c r="L166" s="5">
        <v>76</v>
      </c>
      <c r="M166">
        <f t="shared" si="21"/>
        <v>111.5</v>
      </c>
      <c r="N166">
        <f t="shared" si="22"/>
        <v>121.5</v>
      </c>
      <c r="O166">
        <f t="shared" si="23"/>
        <v>120</v>
      </c>
      <c r="P166">
        <f t="shared" si="24"/>
        <v>58</v>
      </c>
      <c r="Q166">
        <f t="shared" si="25"/>
        <v>100</v>
      </c>
      <c r="R166">
        <f t="shared" si="26"/>
        <v>72.25</v>
      </c>
      <c r="S166">
        <f t="shared" si="27"/>
        <v>2862.25</v>
      </c>
      <c r="T166">
        <f t="shared" si="28"/>
        <v>2.25</v>
      </c>
      <c r="U166">
        <f t="shared" si="29"/>
        <v>4032.25</v>
      </c>
      <c r="V166">
        <f t="shared" si="30"/>
        <v>3844</v>
      </c>
    </row>
    <row r="167" spans="1:22" x14ac:dyDescent="0.35">
      <c r="A167" t="s">
        <v>587</v>
      </c>
      <c r="B167" t="s">
        <v>611</v>
      </c>
      <c r="C167" t="s">
        <v>580</v>
      </c>
      <c r="D167" s="1" t="s">
        <v>545</v>
      </c>
      <c r="E167" s="1">
        <v>2023</v>
      </c>
      <c r="F167" s="1" t="s">
        <v>571</v>
      </c>
      <c r="G167" s="4" t="s">
        <v>726</v>
      </c>
      <c r="H167" s="4" t="s">
        <v>727</v>
      </c>
      <c r="I167">
        <v>87</v>
      </c>
      <c r="J167">
        <v>81</v>
      </c>
      <c r="K167" s="5">
        <v>81</v>
      </c>
      <c r="L167" s="5">
        <v>78</v>
      </c>
      <c r="M167">
        <f t="shared" si="21"/>
        <v>90</v>
      </c>
      <c r="N167">
        <f t="shared" si="22"/>
        <v>18.5</v>
      </c>
      <c r="O167">
        <f t="shared" si="23"/>
        <v>107.5</v>
      </c>
      <c r="P167">
        <f t="shared" si="24"/>
        <v>89.5</v>
      </c>
      <c r="Q167">
        <f t="shared" si="25"/>
        <v>5112.25</v>
      </c>
      <c r="R167">
        <f t="shared" si="26"/>
        <v>306.25</v>
      </c>
      <c r="S167">
        <f t="shared" si="27"/>
        <v>0.25</v>
      </c>
      <c r="T167">
        <f t="shared" si="28"/>
        <v>7921</v>
      </c>
      <c r="U167">
        <f t="shared" si="29"/>
        <v>5041</v>
      </c>
      <c r="V167">
        <f t="shared" si="30"/>
        <v>324</v>
      </c>
    </row>
    <row r="168" spans="1:22" x14ac:dyDescent="0.35">
      <c r="A168" t="s">
        <v>129</v>
      </c>
      <c r="B168" t="s">
        <v>446</v>
      </c>
      <c r="C168" t="s">
        <v>580</v>
      </c>
      <c r="D168" s="1" t="s">
        <v>556</v>
      </c>
      <c r="E168" s="1">
        <v>2023</v>
      </c>
      <c r="F168" s="1" t="s">
        <v>571</v>
      </c>
      <c r="G168" s="4" t="s">
        <v>729</v>
      </c>
      <c r="H168" s="4" t="s">
        <v>728</v>
      </c>
      <c r="I168">
        <v>87</v>
      </c>
      <c r="J168">
        <v>87</v>
      </c>
      <c r="K168" s="5">
        <v>84</v>
      </c>
      <c r="L168" s="5">
        <v>81</v>
      </c>
      <c r="M168">
        <f t="shared" si="21"/>
        <v>90</v>
      </c>
      <c r="N168">
        <f t="shared" si="22"/>
        <v>121.5</v>
      </c>
      <c r="O168">
        <f t="shared" si="23"/>
        <v>145.5</v>
      </c>
      <c r="P168">
        <f t="shared" si="24"/>
        <v>139</v>
      </c>
      <c r="Q168">
        <f t="shared" si="25"/>
        <v>992.25</v>
      </c>
      <c r="R168">
        <f t="shared" si="26"/>
        <v>3080.25</v>
      </c>
      <c r="S168">
        <f t="shared" si="27"/>
        <v>2401</v>
      </c>
      <c r="T168">
        <f t="shared" si="28"/>
        <v>576</v>
      </c>
      <c r="U168">
        <f t="shared" si="29"/>
        <v>306.25</v>
      </c>
      <c r="V168">
        <f t="shared" si="30"/>
        <v>42.25</v>
      </c>
    </row>
    <row r="169" spans="1:22" x14ac:dyDescent="0.35">
      <c r="A169" t="s">
        <v>598</v>
      </c>
      <c r="B169" t="s">
        <v>612</v>
      </c>
      <c r="C169" t="s">
        <v>580</v>
      </c>
      <c r="D169" s="1" t="s">
        <v>556</v>
      </c>
      <c r="E169" s="1">
        <v>2023</v>
      </c>
      <c r="F169" s="1" t="s">
        <v>571</v>
      </c>
      <c r="G169" s="4" t="s">
        <v>730</v>
      </c>
      <c r="H169" s="4" t="s">
        <v>731</v>
      </c>
      <c r="I169">
        <v>93</v>
      </c>
      <c r="J169">
        <v>85</v>
      </c>
      <c r="K169" s="5">
        <v>80</v>
      </c>
      <c r="L169" s="5">
        <v>79</v>
      </c>
      <c r="M169">
        <f t="shared" si="21"/>
        <v>157.5</v>
      </c>
      <c r="N169">
        <f t="shared" si="22"/>
        <v>61</v>
      </c>
      <c r="O169">
        <f t="shared" si="23"/>
        <v>89.5</v>
      </c>
      <c r="P169">
        <f t="shared" si="24"/>
        <v>108.5</v>
      </c>
      <c r="Q169">
        <f t="shared" si="25"/>
        <v>9312.25</v>
      </c>
      <c r="R169">
        <f t="shared" si="26"/>
        <v>4624</v>
      </c>
      <c r="S169">
        <f t="shared" si="27"/>
        <v>2401</v>
      </c>
      <c r="T169">
        <f t="shared" si="28"/>
        <v>812.25</v>
      </c>
      <c r="U169">
        <f t="shared" si="29"/>
        <v>2256.25</v>
      </c>
      <c r="V169">
        <f t="shared" si="30"/>
        <v>361</v>
      </c>
    </row>
    <row r="170" spans="1:22" x14ac:dyDescent="0.35">
      <c r="A170" t="s">
        <v>598</v>
      </c>
      <c r="B170" t="s">
        <v>613</v>
      </c>
      <c r="C170" t="s">
        <v>580</v>
      </c>
      <c r="D170" s="1" t="s">
        <v>545</v>
      </c>
      <c r="E170" s="1">
        <v>2023</v>
      </c>
      <c r="F170" s="1" t="s">
        <v>571</v>
      </c>
      <c r="G170" s="4" t="s">
        <v>732</v>
      </c>
      <c r="H170" s="4" t="s">
        <v>733</v>
      </c>
      <c r="I170">
        <v>96</v>
      </c>
      <c r="J170">
        <v>85</v>
      </c>
      <c r="K170" s="5">
        <v>83</v>
      </c>
      <c r="L170" s="5">
        <v>81</v>
      </c>
      <c r="M170">
        <f t="shared" si="21"/>
        <v>168.5</v>
      </c>
      <c r="N170">
        <f t="shared" si="22"/>
        <v>61</v>
      </c>
      <c r="O170">
        <f t="shared" si="23"/>
        <v>132</v>
      </c>
      <c r="P170">
        <f t="shared" si="24"/>
        <v>139</v>
      </c>
      <c r="Q170">
        <f t="shared" si="25"/>
        <v>11556.25</v>
      </c>
      <c r="R170">
        <f t="shared" si="26"/>
        <v>1332.25</v>
      </c>
      <c r="S170">
        <f t="shared" si="27"/>
        <v>870.25</v>
      </c>
      <c r="T170">
        <f t="shared" si="28"/>
        <v>5041</v>
      </c>
      <c r="U170">
        <f t="shared" si="29"/>
        <v>6084</v>
      </c>
      <c r="V170">
        <f t="shared" si="30"/>
        <v>49</v>
      </c>
    </row>
    <row r="171" spans="1:22" x14ac:dyDescent="0.35">
      <c r="P171" s="5" t="s">
        <v>921</v>
      </c>
      <c r="Q171">
        <f>SUM(Q2:Q170)</f>
        <v>375076.5</v>
      </c>
      <c r="R171">
        <f t="shared" ref="R171:V171" si="31">SUM(R2:R170)</f>
        <v>524599</v>
      </c>
      <c r="S171">
        <f t="shared" si="31"/>
        <v>351359.5</v>
      </c>
      <c r="T171">
        <f t="shared" si="31"/>
        <v>539542</v>
      </c>
      <c r="U171">
        <f t="shared" si="31"/>
        <v>427281.5</v>
      </c>
      <c r="V171">
        <f t="shared" si="31"/>
        <v>485962.5</v>
      </c>
    </row>
    <row r="172" spans="1:22" x14ac:dyDescent="0.35">
      <c r="P172" t="s">
        <v>920</v>
      </c>
      <c r="Q172">
        <f>1-(6*Q171)/(COUNT(Q2:Q170)*(COUNT(Q2:Q170)^2-1))</f>
        <v>0.53374210630997965</v>
      </c>
      <c r="R172">
        <f t="shared" ref="R172:V172" si="32">1-(6*R171)/(COUNT(R2:R170)*(COUNT(R2:R170)^2-1))</f>
        <v>0.34787056834568142</v>
      </c>
      <c r="S172">
        <f t="shared" si="32"/>
        <v>0.5632247277609268</v>
      </c>
      <c r="T172">
        <f t="shared" si="32"/>
        <v>0.32929491323156479</v>
      </c>
      <c r="U172">
        <f t="shared" si="32"/>
        <v>0.46884602953607479</v>
      </c>
      <c r="V172">
        <f t="shared" si="32"/>
        <v>0.39589963204216594</v>
      </c>
    </row>
    <row r="173" spans="1:22" x14ac:dyDescent="0.35">
      <c r="P173" t="s">
        <v>919</v>
      </c>
      <c r="Q173" s="5">
        <f>CORREL($M2:$M170,N2:N170)</f>
        <v>0.52539143171097102</v>
      </c>
      <c r="R173" s="5">
        <f>CORREL($M2:$M170,O2:O170)</f>
        <v>0.3444180776177565</v>
      </c>
      <c r="S173" s="5">
        <f>CORREL($M2:$M170,P2:P170)</f>
        <v>0.56106145846716393</v>
      </c>
      <c r="T173" s="5">
        <f>CORREL($N2:$N170,O2:O170)</f>
        <v>0.31608171029316434</v>
      </c>
      <c r="U173" s="5">
        <f>CORREL($N2:$N170,P2:P170)</f>
        <v>0.45858715701475544</v>
      </c>
      <c r="V173" s="5">
        <f>CORREL($O2:$O170,P2:P170)</f>
        <v>0.39189888984712312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B3CC6-1E81-455F-BC97-9873015E40FA}">
  <dimension ref="A1:N116"/>
  <sheetViews>
    <sheetView workbookViewId="0">
      <pane ySplit="2" topLeftCell="A90" activePane="bottomLeft" state="frozen"/>
      <selection pane="bottomLeft" activeCell="F117" sqref="F117"/>
    </sheetView>
  </sheetViews>
  <sheetFormatPr baseColWidth="10" defaultRowHeight="14.5" x14ac:dyDescent="0.35"/>
  <cols>
    <col min="1" max="1" width="14.36328125" bestFit="1" customWidth="1"/>
    <col min="2" max="2" width="19.36328125" bestFit="1" customWidth="1"/>
    <col min="3" max="3" width="53.7265625" bestFit="1" customWidth="1"/>
    <col min="4" max="4" width="29.453125" customWidth="1"/>
    <col min="5" max="5" width="5.1796875" bestFit="1" customWidth="1"/>
    <col min="6" max="6" width="9.26953125" style="1" bestFit="1" customWidth="1"/>
    <col min="7" max="7" width="12.453125" bestFit="1" customWidth="1"/>
    <col min="8" max="8" width="8.36328125" bestFit="1" customWidth="1"/>
    <col min="9" max="9" width="15.08984375" bestFit="1" customWidth="1"/>
    <col min="10" max="10" width="13.6328125" customWidth="1"/>
    <col min="11" max="11" width="13" customWidth="1"/>
    <col min="12" max="12" width="14.7265625" customWidth="1"/>
    <col min="14" max="14" width="15" style="34" bestFit="1" customWidth="1"/>
  </cols>
  <sheetData>
    <row r="1" spans="1:14" ht="16" x14ac:dyDescent="0.4">
      <c r="A1" s="67" t="s">
        <v>874</v>
      </c>
      <c r="B1" s="67"/>
      <c r="C1" s="67"/>
      <c r="D1" s="67"/>
      <c r="G1" s="67" t="s">
        <v>875</v>
      </c>
      <c r="H1" s="67"/>
      <c r="I1" s="67"/>
      <c r="J1" s="67"/>
      <c r="K1" s="67" t="s">
        <v>876</v>
      </c>
      <c r="L1" s="67"/>
    </row>
    <row r="2" spans="1:14" x14ac:dyDescent="0.35">
      <c r="A2" s="3" t="s">
        <v>528</v>
      </c>
      <c r="B2" s="3" t="s">
        <v>529</v>
      </c>
      <c r="C2" s="3" t="s">
        <v>776</v>
      </c>
      <c r="D2" s="3" t="s">
        <v>17</v>
      </c>
      <c r="E2" s="3" t="s">
        <v>16</v>
      </c>
      <c r="F2" s="3" t="s">
        <v>779</v>
      </c>
      <c r="G2" s="3" t="s">
        <v>734</v>
      </c>
      <c r="H2" s="3" t="s">
        <v>735</v>
      </c>
      <c r="I2" s="3" t="s">
        <v>737</v>
      </c>
      <c r="J2" s="3" t="s">
        <v>736</v>
      </c>
      <c r="K2" s="3" t="s">
        <v>877</v>
      </c>
      <c r="L2" s="3" t="s">
        <v>878</v>
      </c>
      <c r="M2" s="3" t="s">
        <v>536</v>
      </c>
      <c r="N2" s="35" t="s">
        <v>777</v>
      </c>
    </row>
    <row r="3" spans="1:14" x14ac:dyDescent="0.35">
      <c r="A3" s="6" t="s">
        <v>27</v>
      </c>
      <c r="B3" s="6" t="s">
        <v>28</v>
      </c>
      <c r="C3" s="6" t="s">
        <v>929</v>
      </c>
      <c r="D3" s="6" t="s">
        <v>785</v>
      </c>
      <c r="E3" s="6">
        <v>2025</v>
      </c>
      <c r="F3" s="8" t="s">
        <v>571</v>
      </c>
      <c r="G3" s="6">
        <v>86</v>
      </c>
      <c r="H3" s="6">
        <v>8.9</v>
      </c>
      <c r="I3" s="6">
        <v>7.7</v>
      </c>
      <c r="J3" s="6">
        <v>9.1999999999999993</v>
      </c>
      <c r="K3" s="6"/>
      <c r="L3" s="6"/>
      <c r="N3" s="36">
        <v>45992</v>
      </c>
    </row>
    <row r="4" spans="1:14" x14ac:dyDescent="0.35">
      <c r="A4" s="6" t="s">
        <v>102</v>
      </c>
      <c r="B4" s="6" t="s">
        <v>923</v>
      </c>
      <c r="C4" s="6" t="s">
        <v>811</v>
      </c>
      <c r="D4" s="6" t="s">
        <v>556</v>
      </c>
      <c r="E4" s="6">
        <v>2025</v>
      </c>
      <c r="F4" s="8" t="s">
        <v>571</v>
      </c>
      <c r="G4" s="6">
        <v>73</v>
      </c>
      <c r="H4" s="6">
        <v>8.4</v>
      </c>
      <c r="I4" s="6">
        <v>6.5</v>
      </c>
      <c r="J4" s="6">
        <v>7.2</v>
      </c>
      <c r="K4" s="6"/>
      <c r="L4" s="6"/>
      <c r="N4" s="36">
        <v>45992</v>
      </c>
    </row>
    <row r="5" spans="1:14" x14ac:dyDescent="0.35">
      <c r="A5" s="6" t="s">
        <v>37</v>
      </c>
      <c r="B5" s="6" t="s">
        <v>386</v>
      </c>
      <c r="C5" s="6" t="s">
        <v>930</v>
      </c>
      <c r="D5" s="6" t="s">
        <v>301</v>
      </c>
      <c r="E5" s="6">
        <v>2025</v>
      </c>
      <c r="F5" s="8" t="s">
        <v>636</v>
      </c>
      <c r="G5" s="6">
        <v>49</v>
      </c>
      <c r="H5" s="6">
        <v>6.6</v>
      </c>
      <c r="I5" s="6">
        <v>5.2</v>
      </c>
      <c r="J5" s="6">
        <v>3.1</v>
      </c>
      <c r="K5" s="6"/>
      <c r="L5" s="6"/>
      <c r="N5" s="36">
        <v>45992</v>
      </c>
    </row>
    <row r="6" spans="1:14" x14ac:dyDescent="0.35">
      <c r="A6" s="6" t="s">
        <v>37</v>
      </c>
      <c r="B6" s="6" t="s">
        <v>600</v>
      </c>
      <c r="C6" s="6" t="s">
        <v>931</v>
      </c>
      <c r="D6" s="6" t="s">
        <v>781</v>
      </c>
      <c r="E6" s="6">
        <v>2025</v>
      </c>
      <c r="F6" s="8" t="s">
        <v>828</v>
      </c>
      <c r="G6" s="6">
        <v>46</v>
      </c>
      <c r="H6" s="6">
        <v>6.5</v>
      </c>
      <c r="I6" s="6">
        <v>4.7</v>
      </c>
      <c r="J6" s="6">
        <v>2.7</v>
      </c>
      <c r="K6" s="6"/>
      <c r="L6" s="6"/>
      <c r="M6" t="s">
        <v>947</v>
      </c>
      <c r="N6" s="36">
        <v>45992</v>
      </c>
    </row>
    <row r="7" spans="1:14" x14ac:dyDescent="0.35">
      <c r="A7" s="6" t="s">
        <v>195</v>
      </c>
      <c r="B7" s="6" t="s">
        <v>279</v>
      </c>
      <c r="C7" s="6" t="s">
        <v>932</v>
      </c>
      <c r="D7" s="6" t="s">
        <v>948</v>
      </c>
      <c r="E7" s="6">
        <v>2025</v>
      </c>
      <c r="F7" s="8" t="s">
        <v>571</v>
      </c>
      <c r="G7" s="6">
        <v>100</v>
      </c>
      <c r="H7" s="6">
        <v>10</v>
      </c>
      <c r="I7" s="6">
        <v>10</v>
      </c>
      <c r="J7" s="6">
        <v>10</v>
      </c>
      <c r="K7" s="6"/>
      <c r="L7" s="6"/>
      <c r="N7" s="36">
        <v>45962</v>
      </c>
    </row>
    <row r="8" spans="1:14" x14ac:dyDescent="0.35">
      <c r="A8" s="6" t="s">
        <v>29</v>
      </c>
      <c r="B8" s="6" t="s">
        <v>280</v>
      </c>
      <c r="C8" s="6" t="s">
        <v>933</v>
      </c>
      <c r="D8" s="6" t="s">
        <v>948</v>
      </c>
      <c r="E8" s="6">
        <v>2025</v>
      </c>
      <c r="F8" s="8" t="s">
        <v>571</v>
      </c>
      <c r="G8" s="6">
        <v>96</v>
      </c>
      <c r="H8" s="6">
        <v>9.6999999999999993</v>
      </c>
      <c r="I8" s="6">
        <v>9.5</v>
      </c>
      <c r="J8" s="6">
        <v>9.8000000000000007</v>
      </c>
      <c r="K8" s="6"/>
      <c r="L8" s="6"/>
      <c r="N8" s="36">
        <v>45962</v>
      </c>
    </row>
    <row r="9" spans="1:14" x14ac:dyDescent="0.35">
      <c r="A9" s="6" t="s">
        <v>14</v>
      </c>
      <c r="B9" s="6" t="s">
        <v>391</v>
      </c>
      <c r="C9" s="6" t="s">
        <v>934</v>
      </c>
      <c r="D9" s="6" t="s">
        <v>301</v>
      </c>
      <c r="E9" s="6">
        <v>2025</v>
      </c>
      <c r="F9" s="8" t="s">
        <v>571</v>
      </c>
      <c r="G9" s="6">
        <v>84</v>
      </c>
      <c r="H9" s="6">
        <v>8.9</v>
      </c>
      <c r="I9" s="6">
        <v>7.6</v>
      </c>
      <c r="J9" s="6">
        <v>8.9</v>
      </c>
      <c r="N9" s="36">
        <v>45962</v>
      </c>
    </row>
    <row r="10" spans="1:14" x14ac:dyDescent="0.35">
      <c r="A10" s="6" t="s">
        <v>767</v>
      </c>
      <c r="B10" s="6" t="s">
        <v>189</v>
      </c>
      <c r="C10" s="6" t="s">
        <v>935</v>
      </c>
      <c r="D10" s="6" t="s">
        <v>785</v>
      </c>
      <c r="E10" s="6">
        <v>2025</v>
      </c>
      <c r="F10" s="8" t="s">
        <v>636</v>
      </c>
      <c r="G10" s="6">
        <v>67</v>
      </c>
      <c r="H10" s="6">
        <v>7</v>
      </c>
      <c r="I10" s="6">
        <v>7.7</v>
      </c>
      <c r="J10" s="6">
        <v>5.4</v>
      </c>
      <c r="N10" s="36">
        <v>45962</v>
      </c>
    </row>
    <row r="11" spans="1:14" x14ac:dyDescent="0.35">
      <c r="A11" s="6" t="s">
        <v>746</v>
      </c>
      <c r="B11" s="6" t="s">
        <v>924</v>
      </c>
      <c r="C11" s="6" t="s">
        <v>936</v>
      </c>
      <c r="D11" s="6" t="s">
        <v>301</v>
      </c>
      <c r="E11" s="6">
        <v>2025</v>
      </c>
      <c r="F11" s="8" t="s">
        <v>571</v>
      </c>
      <c r="G11" s="6">
        <v>96</v>
      </c>
      <c r="H11" s="6">
        <v>9.6</v>
      </c>
      <c r="I11" s="6">
        <v>9.5</v>
      </c>
      <c r="J11" s="6">
        <v>0</v>
      </c>
      <c r="K11" s="6"/>
      <c r="L11" s="6"/>
      <c r="N11" s="36">
        <v>45901</v>
      </c>
    </row>
    <row r="12" spans="1:14" x14ac:dyDescent="0.35">
      <c r="A12" s="6" t="s">
        <v>582</v>
      </c>
      <c r="B12" s="6" t="s">
        <v>925</v>
      </c>
      <c r="C12" s="6" t="s">
        <v>937</v>
      </c>
      <c r="D12" s="6" t="s">
        <v>948</v>
      </c>
      <c r="E12" s="6">
        <v>2025</v>
      </c>
      <c r="F12" s="8" t="s">
        <v>571</v>
      </c>
      <c r="G12" s="6">
        <v>95</v>
      </c>
      <c r="H12" s="6">
        <v>9.4</v>
      </c>
      <c r="I12" s="6">
        <v>9.6999999999999993</v>
      </c>
      <c r="J12" s="6">
        <v>9.6</v>
      </c>
      <c r="K12" s="6"/>
      <c r="L12" s="6"/>
      <c r="N12" s="36">
        <v>45901</v>
      </c>
    </row>
    <row r="13" spans="1:14" x14ac:dyDescent="0.35">
      <c r="A13" s="6" t="s">
        <v>34</v>
      </c>
      <c r="B13" s="6" t="s">
        <v>926</v>
      </c>
      <c r="C13" s="6" t="s">
        <v>938</v>
      </c>
      <c r="D13" s="6" t="s">
        <v>948</v>
      </c>
      <c r="E13" s="6">
        <v>2025</v>
      </c>
      <c r="F13" s="8" t="s">
        <v>571</v>
      </c>
      <c r="G13" s="6">
        <v>90</v>
      </c>
      <c r="H13" s="6">
        <v>9.1999999999999993</v>
      </c>
      <c r="I13" s="6">
        <v>8.1</v>
      </c>
      <c r="J13" s="6">
        <v>9.9</v>
      </c>
      <c r="N13" s="36">
        <v>45901</v>
      </c>
    </row>
    <row r="14" spans="1:14" x14ac:dyDescent="0.35">
      <c r="A14" s="6" t="s">
        <v>96</v>
      </c>
      <c r="B14" s="6" t="s">
        <v>309</v>
      </c>
      <c r="C14" s="6" t="s">
        <v>939</v>
      </c>
      <c r="D14" s="6" t="s">
        <v>301</v>
      </c>
      <c r="E14" s="6">
        <v>2025</v>
      </c>
      <c r="F14" s="8" t="s">
        <v>571</v>
      </c>
      <c r="G14" s="6">
        <v>89</v>
      </c>
      <c r="H14" s="6">
        <v>9.1</v>
      </c>
      <c r="I14" s="6">
        <v>8.1999999999999993</v>
      </c>
      <c r="J14" s="6">
        <v>9.5</v>
      </c>
      <c r="N14" s="36">
        <v>45901</v>
      </c>
    </row>
    <row r="15" spans="1:14" x14ac:dyDescent="0.35">
      <c r="A15" s="6" t="s">
        <v>81</v>
      </c>
      <c r="B15" s="6" t="s">
        <v>927</v>
      </c>
      <c r="C15" s="6" t="s">
        <v>940</v>
      </c>
      <c r="D15" s="6" t="s">
        <v>662</v>
      </c>
      <c r="E15" s="6">
        <v>2025</v>
      </c>
      <c r="F15" s="8" t="s">
        <v>571</v>
      </c>
      <c r="G15" s="6">
        <v>70</v>
      </c>
      <c r="H15" s="6">
        <v>7.8</v>
      </c>
      <c r="I15" s="6">
        <v>5.8</v>
      </c>
      <c r="J15" s="6">
        <v>7.6</v>
      </c>
      <c r="N15" s="36">
        <v>45901</v>
      </c>
    </row>
    <row r="16" spans="1:14" x14ac:dyDescent="0.35">
      <c r="A16" s="6" t="s">
        <v>29</v>
      </c>
      <c r="B16" s="6" t="s">
        <v>191</v>
      </c>
      <c r="C16" s="6" t="s">
        <v>941</v>
      </c>
      <c r="D16" s="6" t="s">
        <v>948</v>
      </c>
      <c r="E16" s="6">
        <v>2025</v>
      </c>
      <c r="F16" s="8" t="s">
        <v>636</v>
      </c>
      <c r="G16" s="6">
        <v>58</v>
      </c>
      <c r="H16" s="6">
        <v>5.9</v>
      </c>
      <c r="I16" s="6">
        <v>6.8</v>
      </c>
      <c r="J16" s="6">
        <v>4.7</v>
      </c>
      <c r="N16" s="36">
        <v>45901</v>
      </c>
    </row>
    <row r="17" spans="1:14" x14ac:dyDescent="0.35">
      <c r="A17" s="6" t="s">
        <v>37</v>
      </c>
      <c r="B17" s="6" t="s">
        <v>928</v>
      </c>
      <c r="C17" s="6" t="s">
        <v>942</v>
      </c>
      <c r="D17" s="6" t="s">
        <v>785</v>
      </c>
      <c r="E17" s="6">
        <v>2025</v>
      </c>
      <c r="F17" s="8" t="s">
        <v>636</v>
      </c>
      <c r="G17" s="6">
        <v>56</v>
      </c>
      <c r="H17" s="6">
        <v>6.7</v>
      </c>
      <c r="I17" s="6">
        <v>6.1</v>
      </c>
      <c r="J17" s="6">
        <v>4</v>
      </c>
      <c r="N17" s="36">
        <v>45901</v>
      </c>
    </row>
    <row r="18" spans="1:14" x14ac:dyDescent="0.35">
      <c r="A18" s="6" t="s">
        <v>24</v>
      </c>
      <c r="B18" s="6" t="s">
        <v>472</v>
      </c>
      <c r="C18" s="6" t="s">
        <v>943</v>
      </c>
      <c r="D18" s="6" t="s">
        <v>556</v>
      </c>
      <c r="E18" s="6">
        <v>2025</v>
      </c>
      <c r="F18" s="8" t="s">
        <v>571</v>
      </c>
      <c r="G18" s="6">
        <v>56</v>
      </c>
      <c r="H18" s="6">
        <v>7.5</v>
      </c>
      <c r="I18" s="6">
        <v>4</v>
      </c>
      <c r="J18" s="6">
        <v>5.4</v>
      </c>
      <c r="K18" s="6"/>
      <c r="L18" s="6"/>
      <c r="N18" s="36">
        <v>45901</v>
      </c>
    </row>
    <row r="19" spans="1:14" x14ac:dyDescent="0.35">
      <c r="A19" s="6" t="s">
        <v>106</v>
      </c>
      <c r="B19" s="6" t="s">
        <v>421</v>
      </c>
      <c r="C19" s="6" t="s">
        <v>944</v>
      </c>
      <c r="D19" s="6" t="s">
        <v>681</v>
      </c>
      <c r="E19" s="6">
        <v>2025</v>
      </c>
      <c r="F19" s="8" t="s">
        <v>570</v>
      </c>
      <c r="G19" s="6">
        <v>53</v>
      </c>
      <c r="H19" s="6">
        <v>6.2</v>
      </c>
      <c r="I19" s="6">
        <v>6.2</v>
      </c>
      <c r="J19" s="6">
        <v>3.9</v>
      </c>
      <c r="K19" s="6"/>
      <c r="L19" s="6"/>
      <c r="N19" s="36">
        <v>45901</v>
      </c>
    </row>
    <row r="20" spans="1:14" x14ac:dyDescent="0.35">
      <c r="A20" s="6" t="s">
        <v>14</v>
      </c>
      <c r="B20" s="6" t="s">
        <v>590</v>
      </c>
      <c r="C20" s="6" t="s">
        <v>945</v>
      </c>
      <c r="D20" s="6" t="s">
        <v>781</v>
      </c>
      <c r="E20" s="6">
        <v>2024</v>
      </c>
      <c r="F20" s="8" t="s">
        <v>828</v>
      </c>
      <c r="G20" s="6">
        <v>52</v>
      </c>
      <c r="H20" s="6">
        <v>6.8</v>
      </c>
      <c r="I20" s="6">
        <v>5.5</v>
      </c>
      <c r="J20" s="6">
        <v>3.4</v>
      </c>
      <c r="K20" s="6"/>
      <c r="L20" s="6"/>
      <c r="M20" t="s">
        <v>947</v>
      </c>
      <c r="N20" s="36">
        <v>45901</v>
      </c>
    </row>
    <row r="21" spans="1:14" x14ac:dyDescent="0.35">
      <c r="A21" s="6" t="s">
        <v>740</v>
      </c>
      <c r="B21" s="7" t="s">
        <v>336</v>
      </c>
      <c r="C21" s="6" t="s">
        <v>946</v>
      </c>
      <c r="D21" s="6" t="s">
        <v>301</v>
      </c>
      <c r="E21" s="6">
        <v>2025</v>
      </c>
      <c r="F21" s="8" t="s">
        <v>636</v>
      </c>
      <c r="G21" s="6">
        <v>40</v>
      </c>
      <c r="H21" s="6">
        <v>5.9</v>
      </c>
      <c r="I21" s="6">
        <v>4.4000000000000004</v>
      </c>
      <c r="J21" s="6">
        <v>1.8</v>
      </c>
      <c r="N21" s="36">
        <v>45901</v>
      </c>
    </row>
    <row r="22" spans="1:14" x14ac:dyDescent="0.35">
      <c r="A22" s="6" t="s">
        <v>740</v>
      </c>
      <c r="B22" s="6" t="s">
        <v>469</v>
      </c>
      <c r="C22" s="6" t="s">
        <v>922</v>
      </c>
      <c r="D22" s="6" t="s">
        <v>556</v>
      </c>
      <c r="E22" s="6">
        <v>2025</v>
      </c>
      <c r="F22" s="8" t="s">
        <v>678</v>
      </c>
      <c r="G22" s="6">
        <v>30</v>
      </c>
      <c r="H22" s="6">
        <v>5.3</v>
      </c>
      <c r="I22" s="6">
        <v>3.3</v>
      </c>
      <c r="J22" s="6">
        <v>0.4</v>
      </c>
      <c r="N22" s="36">
        <v>45901</v>
      </c>
    </row>
    <row r="23" spans="1:14" x14ac:dyDescent="0.35">
      <c r="A23" s="6" t="s">
        <v>738</v>
      </c>
      <c r="B23" s="6" t="s">
        <v>190</v>
      </c>
      <c r="C23" s="6" t="s">
        <v>778</v>
      </c>
      <c r="D23" s="6" t="s">
        <v>541</v>
      </c>
      <c r="E23" s="6">
        <v>2024</v>
      </c>
      <c r="F23" s="8" t="s">
        <v>571</v>
      </c>
      <c r="G23" s="6">
        <v>99</v>
      </c>
      <c r="H23" s="6">
        <v>10</v>
      </c>
      <c r="I23" s="6">
        <v>9.6999999999999993</v>
      </c>
      <c r="J23" s="6">
        <v>10</v>
      </c>
      <c r="K23">
        <v>401</v>
      </c>
      <c r="L23">
        <v>354</v>
      </c>
      <c r="N23" s="36">
        <v>45627</v>
      </c>
    </row>
    <row r="24" spans="1:14" x14ac:dyDescent="0.35">
      <c r="A24" s="6" t="s">
        <v>29</v>
      </c>
      <c r="B24" s="6" t="s">
        <v>603</v>
      </c>
      <c r="C24" s="6" t="s">
        <v>778</v>
      </c>
      <c r="D24" s="6" t="s">
        <v>301</v>
      </c>
      <c r="E24" s="6">
        <v>2024</v>
      </c>
      <c r="F24" s="8" t="s">
        <v>571</v>
      </c>
      <c r="G24" s="6">
        <v>98</v>
      </c>
      <c r="H24" s="6">
        <v>10</v>
      </c>
      <c r="I24" s="6">
        <v>9.6999999999999993</v>
      </c>
      <c r="J24" s="6">
        <v>9.9</v>
      </c>
      <c r="K24">
        <v>511</v>
      </c>
      <c r="L24">
        <v>458</v>
      </c>
      <c r="N24" s="36">
        <v>45627</v>
      </c>
    </row>
    <row r="25" spans="1:14" x14ac:dyDescent="0.35">
      <c r="A25" s="6" t="s">
        <v>91</v>
      </c>
      <c r="B25" s="6" t="s">
        <v>92</v>
      </c>
      <c r="C25" s="6" t="s">
        <v>780</v>
      </c>
      <c r="D25" s="6" t="s">
        <v>781</v>
      </c>
      <c r="E25" s="6">
        <v>2024</v>
      </c>
      <c r="F25" s="8" t="s">
        <v>571</v>
      </c>
      <c r="G25" s="6">
        <v>98</v>
      </c>
      <c r="H25" s="6">
        <v>10</v>
      </c>
      <c r="I25" s="6">
        <v>9.6999999999999993</v>
      </c>
      <c r="J25" s="6">
        <v>9.8000000000000007</v>
      </c>
      <c r="K25">
        <v>513</v>
      </c>
      <c r="L25">
        <v>409</v>
      </c>
      <c r="N25" s="36">
        <v>45627</v>
      </c>
    </row>
    <row r="26" spans="1:14" x14ac:dyDescent="0.35">
      <c r="A26" s="6" t="s">
        <v>102</v>
      </c>
      <c r="B26" s="6" t="s">
        <v>739</v>
      </c>
      <c r="C26" s="6" t="s">
        <v>782</v>
      </c>
      <c r="D26" s="6" t="s">
        <v>301</v>
      </c>
      <c r="E26" s="6">
        <v>2024</v>
      </c>
      <c r="F26" s="8" t="s">
        <v>571</v>
      </c>
      <c r="G26" s="6">
        <v>96</v>
      </c>
      <c r="H26" s="6">
        <v>10</v>
      </c>
      <c r="I26" s="6">
        <v>9.3000000000000007</v>
      </c>
      <c r="J26" s="6">
        <v>9.6</v>
      </c>
      <c r="K26" s="6">
        <v>312</v>
      </c>
      <c r="L26" s="6">
        <v>244</v>
      </c>
      <c r="N26" s="36">
        <v>45627</v>
      </c>
    </row>
    <row r="27" spans="1:14" x14ac:dyDescent="0.35">
      <c r="A27" s="6" t="s">
        <v>740</v>
      </c>
      <c r="B27" s="7" t="s">
        <v>741</v>
      </c>
      <c r="C27" s="6" t="s">
        <v>783</v>
      </c>
      <c r="D27" s="6" t="s">
        <v>785</v>
      </c>
      <c r="E27" s="6">
        <v>2024</v>
      </c>
      <c r="F27" s="8" t="s">
        <v>784</v>
      </c>
      <c r="G27" s="6">
        <v>64</v>
      </c>
      <c r="H27" s="6">
        <v>7.8</v>
      </c>
      <c r="I27" s="6">
        <v>5.9</v>
      </c>
      <c r="J27" s="6">
        <v>5.6</v>
      </c>
      <c r="K27" s="6">
        <v>85</v>
      </c>
      <c r="L27" s="6">
        <v>80</v>
      </c>
      <c r="N27" s="36">
        <v>45627</v>
      </c>
    </row>
    <row r="28" spans="1:14" x14ac:dyDescent="0.35">
      <c r="A28" s="6" t="s">
        <v>742</v>
      </c>
      <c r="B28" s="6" t="s">
        <v>345</v>
      </c>
      <c r="C28" s="6" t="s">
        <v>786</v>
      </c>
      <c r="D28" s="6" t="s">
        <v>301</v>
      </c>
      <c r="E28" s="6">
        <v>2024</v>
      </c>
      <c r="F28" s="8" t="s">
        <v>784</v>
      </c>
      <c r="G28" s="6">
        <v>57</v>
      </c>
      <c r="H28" s="6">
        <v>8.1999999999999993</v>
      </c>
      <c r="I28" s="6">
        <v>4.9000000000000004</v>
      </c>
      <c r="J28" s="6">
        <v>4.0999999999999996</v>
      </c>
      <c r="K28" s="6">
        <v>64</v>
      </c>
      <c r="L28" s="6">
        <v>53</v>
      </c>
      <c r="N28" s="36">
        <v>45627</v>
      </c>
    </row>
    <row r="29" spans="1:14" x14ac:dyDescent="0.35">
      <c r="A29" s="6" t="s">
        <v>195</v>
      </c>
      <c r="B29" s="6" t="s">
        <v>325</v>
      </c>
      <c r="C29" s="6" t="s">
        <v>787</v>
      </c>
      <c r="D29" s="6" t="s">
        <v>301</v>
      </c>
      <c r="E29" s="6">
        <v>2024</v>
      </c>
      <c r="F29" s="8" t="s">
        <v>636</v>
      </c>
      <c r="G29" s="6">
        <v>50</v>
      </c>
      <c r="H29" s="6">
        <v>6.5</v>
      </c>
      <c r="I29" s="6">
        <v>5.2</v>
      </c>
      <c r="J29" s="6">
        <v>3.7</v>
      </c>
      <c r="K29" s="6"/>
      <c r="L29" s="6"/>
      <c r="N29" s="36">
        <v>45627</v>
      </c>
    </row>
    <row r="30" spans="1:14" x14ac:dyDescent="0.35">
      <c r="A30" s="6" t="s">
        <v>743</v>
      </c>
      <c r="B30" s="6" t="s">
        <v>744</v>
      </c>
      <c r="C30" s="6" t="s">
        <v>788</v>
      </c>
      <c r="D30" s="6" t="s">
        <v>301</v>
      </c>
      <c r="E30" s="6">
        <v>2024</v>
      </c>
      <c r="F30" s="8" t="s">
        <v>636</v>
      </c>
      <c r="G30" s="6">
        <v>38</v>
      </c>
      <c r="H30" s="6">
        <v>7.1</v>
      </c>
      <c r="I30" s="6">
        <v>3.1</v>
      </c>
      <c r="J30" s="6">
        <v>1.3</v>
      </c>
      <c r="N30" s="36">
        <v>45627</v>
      </c>
    </row>
    <row r="31" spans="1:14" x14ac:dyDescent="0.35">
      <c r="A31" s="6" t="s">
        <v>284</v>
      </c>
      <c r="B31" s="6" t="s">
        <v>285</v>
      </c>
      <c r="C31" s="6" t="s">
        <v>789</v>
      </c>
      <c r="D31" s="6" t="s">
        <v>632</v>
      </c>
      <c r="E31" s="6">
        <v>2024</v>
      </c>
      <c r="F31" s="8" t="s">
        <v>571</v>
      </c>
      <c r="G31" s="6">
        <v>97</v>
      </c>
      <c r="H31" s="6">
        <v>10</v>
      </c>
      <c r="I31" s="6">
        <v>9.4</v>
      </c>
      <c r="J31" s="6">
        <v>9.6999999999999993</v>
      </c>
      <c r="K31" s="6">
        <v>394</v>
      </c>
      <c r="L31">
        <v>299</v>
      </c>
      <c r="N31" s="36">
        <v>45597</v>
      </c>
    </row>
    <row r="32" spans="1:14" x14ac:dyDescent="0.35">
      <c r="A32" s="6" t="s">
        <v>68</v>
      </c>
      <c r="B32" s="6" t="s">
        <v>334</v>
      </c>
      <c r="C32" s="6" t="s">
        <v>790</v>
      </c>
      <c r="D32" s="6" t="s">
        <v>301</v>
      </c>
      <c r="E32" s="6">
        <v>2024</v>
      </c>
      <c r="F32" s="8" t="s">
        <v>571</v>
      </c>
      <c r="G32" s="6">
        <v>94</v>
      </c>
      <c r="H32" s="6">
        <v>10</v>
      </c>
      <c r="I32" s="6">
        <v>9</v>
      </c>
      <c r="J32" s="6">
        <v>9.1999999999999993</v>
      </c>
      <c r="K32" s="6">
        <v>412</v>
      </c>
      <c r="L32" s="6">
        <v>331</v>
      </c>
      <c r="N32" s="36">
        <v>45597</v>
      </c>
    </row>
    <row r="33" spans="1:14" x14ac:dyDescent="0.35">
      <c r="A33" s="6" t="s">
        <v>68</v>
      </c>
      <c r="B33" s="6" t="s">
        <v>69</v>
      </c>
      <c r="C33" s="6" t="s">
        <v>791</v>
      </c>
      <c r="D33" s="6" t="s">
        <v>785</v>
      </c>
      <c r="E33" s="6">
        <v>2024</v>
      </c>
      <c r="F33" s="8" t="s">
        <v>570</v>
      </c>
      <c r="G33" s="6">
        <v>56</v>
      </c>
      <c r="H33" s="6">
        <v>7.2</v>
      </c>
      <c r="I33" s="6">
        <v>5.5</v>
      </c>
      <c r="J33" s="6">
        <v>4.0999999999999996</v>
      </c>
      <c r="K33" s="6"/>
      <c r="L33" s="6"/>
      <c r="N33" s="36">
        <v>45597</v>
      </c>
    </row>
    <row r="34" spans="1:14" x14ac:dyDescent="0.35">
      <c r="A34" s="6" t="s">
        <v>81</v>
      </c>
      <c r="B34" s="6" t="s">
        <v>423</v>
      </c>
      <c r="C34" s="6" t="s">
        <v>792</v>
      </c>
      <c r="D34" s="6" t="s">
        <v>301</v>
      </c>
      <c r="E34" s="6">
        <v>2024</v>
      </c>
      <c r="F34" s="8" t="s">
        <v>678</v>
      </c>
      <c r="G34" s="6">
        <v>55</v>
      </c>
      <c r="H34" s="6">
        <v>9.4</v>
      </c>
      <c r="I34" s="6">
        <v>4.5</v>
      </c>
      <c r="J34" s="6">
        <v>2.7</v>
      </c>
      <c r="K34" s="6"/>
      <c r="L34" s="6"/>
      <c r="N34" s="36">
        <v>45597</v>
      </c>
    </row>
    <row r="35" spans="1:14" x14ac:dyDescent="0.35">
      <c r="A35" s="6" t="s">
        <v>591</v>
      </c>
      <c r="B35" s="7" t="s">
        <v>335</v>
      </c>
      <c r="C35" s="6" t="s">
        <v>793</v>
      </c>
      <c r="D35" s="6" t="s">
        <v>301</v>
      </c>
      <c r="E35" s="6">
        <v>2024</v>
      </c>
      <c r="F35" s="8" t="s">
        <v>636</v>
      </c>
      <c r="G35" s="6">
        <v>52</v>
      </c>
      <c r="H35" s="6">
        <v>7.9</v>
      </c>
      <c r="I35" s="6">
        <v>4.7</v>
      </c>
      <c r="J35" s="6">
        <v>3.1</v>
      </c>
      <c r="K35" s="6"/>
      <c r="L35" s="6"/>
      <c r="N35" s="36">
        <v>45597</v>
      </c>
    </row>
    <row r="36" spans="1:14" x14ac:dyDescent="0.35">
      <c r="A36" s="6" t="s">
        <v>582</v>
      </c>
      <c r="B36" s="6" t="s">
        <v>318</v>
      </c>
      <c r="C36" s="6" t="s">
        <v>794</v>
      </c>
      <c r="D36" s="6" t="s">
        <v>632</v>
      </c>
      <c r="E36" s="6">
        <v>2024</v>
      </c>
      <c r="F36" s="8" t="s">
        <v>636</v>
      </c>
      <c r="G36" s="6">
        <v>46</v>
      </c>
      <c r="H36" s="6">
        <v>7.9</v>
      </c>
      <c r="I36" s="6">
        <v>3.9</v>
      </c>
      <c r="J36" s="6">
        <v>2.2000000000000002</v>
      </c>
      <c r="K36" s="6"/>
      <c r="L36" s="6"/>
      <c r="N36" s="36">
        <v>45597</v>
      </c>
    </row>
    <row r="37" spans="1:14" x14ac:dyDescent="0.35">
      <c r="A37" s="6" t="s">
        <v>363</v>
      </c>
      <c r="B37" s="6" t="s">
        <v>364</v>
      </c>
      <c r="C37" s="6" t="s">
        <v>795</v>
      </c>
      <c r="D37" s="6" t="s">
        <v>785</v>
      </c>
      <c r="E37" s="6">
        <v>2024</v>
      </c>
      <c r="F37" s="8" t="s">
        <v>570</v>
      </c>
      <c r="G37" s="6">
        <v>39</v>
      </c>
      <c r="H37" s="6">
        <v>6.7</v>
      </c>
      <c r="I37" s="6">
        <v>3.3</v>
      </c>
      <c r="J37" s="6">
        <v>1.7</v>
      </c>
      <c r="N37" s="36">
        <v>45597</v>
      </c>
    </row>
    <row r="38" spans="1:14" x14ac:dyDescent="0.35">
      <c r="A38" s="6" t="s">
        <v>45</v>
      </c>
      <c r="B38" s="6" t="s">
        <v>413</v>
      </c>
      <c r="C38" s="6" t="s">
        <v>796</v>
      </c>
      <c r="D38" s="6" t="s">
        <v>301</v>
      </c>
      <c r="E38" s="6">
        <v>2024</v>
      </c>
      <c r="F38" s="8" t="s">
        <v>571</v>
      </c>
      <c r="G38" s="6">
        <v>97</v>
      </c>
      <c r="H38" s="6">
        <v>10</v>
      </c>
      <c r="I38" s="6">
        <v>9.4</v>
      </c>
      <c r="J38" s="6">
        <v>9.6999999999999993</v>
      </c>
      <c r="K38" s="6">
        <v>443</v>
      </c>
      <c r="L38" s="6">
        <v>362</v>
      </c>
      <c r="N38" s="36">
        <v>45536</v>
      </c>
    </row>
    <row r="39" spans="1:14" x14ac:dyDescent="0.35">
      <c r="A39" s="6" t="s">
        <v>24</v>
      </c>
      <c r="B39" s="6" t="s">
        <v>80</v>
      </c>
      <c r="C39" s="6" t="s">
        <v>797</v>
      </c>
      <c r="D39" s="6" t="s">
        <v>781</v>
      </c>
      <c r="E39" s="6">
        <v>2024</v>
      </c>
      <c r="F39" s="8" t="s">
        <v>571</v>
      </c>
      <c r="G39" s="6">
        <v>94</v>
      </c>
      <c r="H39" s="6">
        <v>10</v>
      </c>
      <c r="I39" s="6">
        <v>9</v>
      </c>
      <c r="J39" s="6">
        <v>9.3000000000000007</v>
      </c>
      <c r="K39" s="6">
        <v>484</v>
      </c>
      <c r="L39" s="6">
        <v>379</v>
      </c>
      <c r="N39" s="36">
        <v>45536</v>
      </c>
    </row>
    <row r="40" spans="1:14" x14ac:dyDescent="0.35">
      <c r="A40" s="6" t="s">
        <v>102</v>
      </c>
      <c r="B40" s="7" t="s">
        <v>745</v>
      </c>
      <c r="C40" s="6" t="s">
        <v>798</v>
      </c>
      <c r="D40" s="6" t="s">
        <v>301</v>
      </c>
      <c r="E40" s="6">
        <v>2024</v>
      </c>
      <c r="F40" s="8" t="s">
        <v>571</v>
      </c>
      <c r="G40" s="6">
        <v>93</v>
      </c>
      <c r="H40" s="6">
        <v>10</v>
      </c>
      <c r="I40" s="6">
        <v>8.9</v>
      </c>
      <c r="J40" s="6">
        <v>9.1</v>
      </c>
      <c r="K40" s="6">
        <v>500</v>
      </c>
      <c r="L40" s="6">
        <v>423</v>
      </c>
      <c r="N40" s="36">
        <v>45536</v>
      </c>
    </row>
    <row r="41" spans="1:14" x14ac:dyDescent="0.35">
      <c r="A41" s="6" t="s">
        <v>40</v>
      </c>
      <c r="B41" s="6" t="s">
        <v>774</v>
      </c>
      <c r="C41" s="6" t="s">
        <v>799</v>
      </c>
      <c r="D41" s="6" t="s">
        <v>785</v>
      </c>
      <c r="E41" s="6">
        <v>2024</v>
      </c>
      <c r="F41" s="8" t="s">
        <v>678</v>
      </c>
      <c r="G41" s="6">
        <v>55</v>
      </c>
      <c r="H41" s="6">
        <v>6.5</v>
      </c>
      <c r="I41" s="6">
        <v>5.6</v>
      </c>
      <c r="J41" s="6">
        <v>4.5</v>
      </c>
      <c r="K41" s="6"/>
      <c r="L41" s="6"/>
      <c r="N41" s="36">
        <v>45536</v>
      </c>
    </row>
    <row r="42" spans="1:14" x14ac:dyDescent="0.35">
      <c r="A42" s="6" t="s">
        <v>14</v>
      </c>
      <c r="B42" s="6" t="s">
        <v>316</v>
      </c>
      <c r="C42" s="6" t="s">
        <v>800</v>
      </c>
      <c r="D42" s="6" t="s">
        <v>301</v>
      </c>
      <c r="E42" s="6">
        <v>2024</v>
      </c>
      <c r="F42" s="8" t="s">
        <v>636</v>
      </c>
      <c r="G42" s="6">
        <v>53</v>
      </c>
      <c r="H42" s="6">
        <v>7</v>
      </c>
      <c r="I42" s="6">
        <v>5.2</v>
      </c>
      <c r="J42" s="6">
        <v>3.8</v>
      </c>
      <c r="K42" s="6"/>
      <c r="L42" s="6"/>
      <c r="N42" s="36">
        <v>45536</v>
      </c>
    </row>
    <row r="43" spans="1:14" x14ac:dyDescent="0.35">
      <c r="A43" s="6" t="s">
        <v>24</v>
      </c>
      <c r="B43" s="6" t="s">
        <v>25</v>
      </c>
      <c r="C43" s="6" t="s">
        <v>801</v>
      </c>
      <c r="D43" s="6" t="s">
        <v>785</v>
      </c>
      <c r="E43" s="6">
        <v>2024</v>
      </c>
      <c r="F43" s="8" t="s">
        <v>636</v>
      </c>
      <c r="G43" s="6">
        <v>37</v>
      </c>
      <c r="H43" s="6">
        <v>4.4000000000000004</v>
      </c>
      <c r="I43" s="6">
        <v>4.2</v>
      </c>
      <c r="J43" s="6">
        <v>2.5</v>
      </c>
      <c r="N43" s="36">
        <v>45536</v>
      </c>
    </row>
    <row r="44" spans="1:14" x14ac:dyDescent="0.35">
      <c r="A44" s="6" t="s">
        <v>68</v>
      </c>
      <c r="B44" s="6" t="s">
        <v>418</v>
      </c>
      <c r="C44" s="6" t="s">
        <v>802</v>
      </c>
      <c r="D44" s="6" t="s">
        <v>301</v>
      </c>
      <c r="E44" s="6">
        <v>2024</v>
      </c>
      <c r="F44" s="8" t="s">
        <v>570</v>
      </c>
      <c r="G44" s="6">
        <v>44</v>
      </c>
      <c r="H44" s="6">
        <v>7.3</v>
      </c>
      <c r="I44" s="6">
        <v>3.7</v>
      </c>
      <c r="J44" s="6">
        <v>2.4</v>
      </c>
      <c r="N44" s="36">
        <v>45444</v>
      </c>
    </row>
    <row r="45" spans="1:14" x14ac:dyDescent="0.35">
      <c r="A45" s="6" t="s">
        <v>746</v>
      </c>
      <c r="B45" s="6" t="s">
        <v>747</v>
      </c>
      <c r="C45" s="6" t="s">
        <v>803</v>
      </c>
      <c r="D45" s="6" t="s">
        <v>632</v>
      </c>
      <c r="E45" s="6">
        <v>2024</v>
      </c>
      <c r="F45" s="8" t="s">
        <v>678</v>
      </c>
      <c r="G45" s="6">
        <v>42</v>
      </c>
      <c r="H45" s="6">
        <v>8.6</v>
      </c>
      <c r="I45" s="6">
        <v>2.8</v>
      </c>
      <c r="J45" s="6">
        <v>1.2</v>
      </c>
      <c r="N45" s="36">
        <v>45444</v>
      </c>
    </row>
    <row r="46" spans="1:14" x14ac:dyDescent="0.35">
      <c r="A46" s="6" t="s">
        <v>596</v>
      </c>
      <c r="B46" s="6" t="s">
        <v>597</v>
      </c>
      <c r="C46" s="6" t="s">
        <v>804</v>
      </c>
      <c r="D46" s="6" t="s">
        <v>301</v>
      </c>
      <c r="E46" s="6">
        <v>2024</v>
      </c>
      <c r="F46" s="8" t="s">
        <v>571</v>
      </c>
      <c r="G46" s="6">
        <v>96</v>
      </c>
      <c r="H46" s="6">
        <v>10</v>
      </c>
      <c r="I46" s="6">
        <v>9.3000000000000007</v>
      </c>
      <c r="J46" s="6">
        <v>9.6</v>
      </c>
      <c r="K46" s="6">
        <v>446.5</v>
      </c>
      <c r="L46" s="6">
        <v>353</v>
      </c>
      <c r="N46" s="36">
        <v>45413</v>
      </c>
    </row>
    <row r="47" spans="1:14" x14ac:dyDescent="0.35">
      <c r="A47" s="6" t="s">
        <v>596</v>
      </c>
      <c r="B47" s="6" t="s">
        <v>685</v>
      </c>
      <c r="C47" s="6" t="s">
        <v>804</v>
      </c>
      <c r="D47" s="6" t="s">
        <v>662</v>
      </c>
      <c r="E47" s="6">
        <v>2024</v>
      </c>
      <c r="F47" s="8" t="s">
        <v>571</v>
      </c>
      <c r="G47" s="6">
        <v>95</v>
      </c>
      <c r="H47" s="6">
        <v>10</v>
      </c>
      <c r="I47" s="6">
        <v>9.1999999999999993</v>
      </c>
      <c r="J47" s="6">
        <v>9.5</v>
      </c>
      <c r="K47" s="6">
        <v>620</v>
      </c>
      <c r="L47" s="6">
        <v>529</v>
      </c>
      <c r="N47" s="36">
        <v>45413</v>
      </c>
    </row>
    <row r="48" spans="1:14" x14ac:dyDescent="0.35">
      <c r="A48" s="6" t="s">
        <v>14</v>
      </c>
      <c r="B48" s="6" t="s">
        <v>120</v>
      </c>
      <c r="C48" s="6" t="s">
        <v>805</v>
      </c>
      <c r="D48" s="6" t="s">
        <v>781</v>
      </c>
      <c r="E48" s="6">
        <v>2024</v>
      </c>
      <c r="F48" s="8" t="s">
        <v>571</v>
      </c>
      <c r="G48" s="6">
        <v>98</v>
      </c>
      <c r="H48" s="6">
        <v>10</v>
      </c>
      <c r="I48" s="6">
        <v>9.6</v>
      </c>
      <c r="J48" s="6">
        <v>9.8000000000000007</v>
      </c>
      <c r="K48">
        <v>611</v>
      </c>
      <c r="L48">
        <v>491</v>
      </c>
      <c r="N48" s="36">
        <v>45352</v>
      </c>
    </row>
    <row r="49" spans="1:14" x14ac:dyDescent="0.35">
      <c r="A49" s="6" t="s">
        <v>591</v>
      </c>
      <c r="B49" s="6" t="s">
        <v>748</v>
      </c>
      <c r="C49" s="6" t="s">
        <v>806</v>
      </c>
      <c r="D49" s="6" t="s">
        <v>556</v>
      </c>
      <c r="E49" s="6">
        <v>2024</v>
      </c>
      <c r="F49" s="8" t="s">
        <v>571</v>
      </c>
      <c r="G49" s="6">
        <v>96</v>
      </c>
      <c r="H49" s="6">
        <v>10</v>
      </c>
      <c r="I49" s="6">
        <v>9.4</v>
      </c>
      <c r="J49" s="6">
        <v>9.6</v>
      </c>
      <c r="K49">
        <v>451</v>
      </c>
      <c r="L49">
        <v>537</v>
      </c>
      <c r="N49" s="36">
        <v>45352</v>
      </c>
    </row>
    <row r="50" spans="1:14" x14ac:dyDescent="0.35">
      <c r="A50" s="6" t="s">
        <v>738</v>
      </c>
      <c r="B50" s="6" t="s">
        <v>48</v>
      </c>
      <c r="C50" s="6" t="s">
        <v>807</v>
      </c>
      <c r="D50" s="6" t="s">
        <v>785</v>
      </c>
      <c r="E50" s="6">
        <v>2024</v>
      </c>
      <c r="F50" s="8" t="s">
        <v>678</v>
      </c>
      <c r="G50" s="6">
        <v>51</v>
      </c>
      <c r="H50" s="6">
        <v>7.9</v>
      </c>
      <c r="I50" s="6">
        <v>4.5999999999999996</v>
      </c>
      <c r="J50" s="6">
        <v>2.9</v>
      </c>
      <c r="N50" s="36">
        <v>45352</v>
      </c>
    </row>
    <row r="51" spans="1:14" x14ac:dyDescent="0.35">
      <c r="A51" s="6" t="s">
        <v>45</v>
      </c>
      <c r="B51" s="6" t="s">
        <v>356</v>
      </c>
      <c r="C51" s="6" t="s">
        <v>808</v>
      </c>
      <c r="D51" s="6" t="s">
        <v>301</v>
      </c>
      <c r="E51" s="6">
        <v>2024</v>
      </c>
      <c r="F51" s="8" t="s">
        <v>570</v>
      </c>
      <c r="G51" s="6">
        <v>49</v>
      </c>
      <c r="H51" s="6">
        <v>5</v>
      </c>
      <c r="I51" s="6">
        <v>5.6</v>
      </c>
      <c r="J51" s="6">
        <v>4.3</v>
      </c>
      <c r="N51" s="36">
        <v>45352</v>
      </c>
    </row>
    <row r="52" spans="1:14" x14ac:dyDescent="0.35">
      <c r="A52" s="6" t="s">
        <v>102</v>
      </c>
      <c r="B52" s="6" t="s">
        <v>609</v>
      </c>
      <c r="C52" s="6" t="s">
        <v>798</v>
      </c>
      <c r="D52" s="6" t="s">
        <v>785</v>
      </c>
      <c r="E52" s="6">
        <v>2024</v>
      </c>
      <c r="F52" s="8" t="s">
        <v>571</v>
      </c>
      <c r="G52" s="6">
        <v>98</v>
      </c>
      <c r="H52" s="6">
        <v>10</v>
      </c>
      <c r="I52" s="6">
        <v>9.6</v>
      </c>
      <c r="J52" s="6">
        <v>9.9</v>
      </c>
      <c r="K52">
        <v>427</v>
      </c>
      <c r="L52">
        <v>365</v>
      </c>
      <c r="N52" s="36">
        <v>45323</v>
      </c>
    </row>
    <row r="53" spans="1:14" x14ac:dyDescent="0.35">
      <c r="A53" s="6" t="s">
        <v>29</v>
      </c>
      <c r="B53" s="6" t="s">
        <v>749</v>
      </c>
      <c r="C53" s="6" t="s">
        <v>809</v>
      </c>
      <c r="D53" s="6" t="s">
        <v>781</v>
      </c>
      <c r="E53" s="6">
        <v>2024</v>
      </c>
      <c r="F53" s="8" t="s">
        <v>571</v>
      </c>
      <c r="G53" s="6">
        <v>98</v>
      </c>
      <c r="H53" s="6">
        <v>10</v>
      </c>
      <c r="I53" s="6">
        <v>9.6</v>
      </c>
      <c r="J53" s="6">
        <v>9.8000000000000007</v>
      </c>
      <c r="K53" s="6">
        <v>583</v>
      </c>
      <c r="L53" s="6">
        <v>461</v>
      </c>
      <c r="N53" s="36">
        <v>45323</v>
      </c>
    </row>
    <row r="54" spans="1:14" x14ac:dyDescent="0.35">
      <c r="A54" s="6" t="s">
        <v>37</v>
      </c>
      <c r="B54" s="6" t="s">
        <v>101</v>
      </c>
      <c r="C54" s="6" t="s">
        <v>810</v>
      </c>
      <c r="D54" s="6" t="s">
        <v>781</v>
      </c>
      <c r="E54" s="6">
        <v>2024</v>
      </c>
      <c r="F54" s="8" t="s">
        <v>571</v>
      </c>
      <c r="G54" s="6">
        <v>96</v>
      </c>
      <c r="H54" s="6">
        <v>10</v>
      </c>
      <c r="I54" s="6">
        <v>9.3000000000000007</v>
      </c>
      <c r="J54" s="6">
        <v>9.5</v>
      </c>
      <c r="K54">
        <v>446</v>
      </c>
      <c r="L54">
        <v>378</v>
      </c>
      <c r="N54" s="36">
        <v>45323</v>
      </c>
    </row>
    <row r="55" spans="1:14" x14ac:dyDescent="0.35">
      <c r="A55" s="6" t="s">
        <v>10</v>
      </c>
      <c r="B55" s="6" t="s">
        <v>775</v>
      </c>
      <c r="C55" s="6" t="s">
        <v>811</v>
      </c>
      <c r="D55" s="6" t="s">
        <v>785</v>
      </c>
      <c r="E55" s="6">
        <v>2024</v>
      </c>
      <c r="F55" s="8" t="s">
        <v>571</v>
      </c>
      <c r="G55" s="6">
        <v>95</v>
      </c>
      <c r="H55" s="6">
        <v>10</v>
      </c>
      <c r="I55" s="6">
        <v>9.1999999999999993</v>
      </c>
      <c r="J55" s="6">
        <v>9.4</v>
      </c>
      <c r="K55">
        <v>450</v>
      </c>
      <c r="L55">
        <v>366</v>
      </c>
      <c r="N55" s="36">
        <v>45323</v>
      </c>
    </row>
    <row r="56" spans="1:14" x14ac:dyDescent="0.35">
      <c r="A56" s="6" t="s">
        <v>605</v>
      </c>
      <c r="B56" s="6" t="s">
        <v>344</v>
      </c>
      <c r="C56" s="6" t="s">
        <v>812</v>
      </c>
      <c r="D56" s="6" t="s">
        <v>785</v>
      </c>
      <c r="E56" s="6">
        <v>2024</v>
      </c>
      <c r="F56" s="8" t="s">
        <v>571</v>
      </c>
      <c r="G56" s="6">
        <v>95</v>
      </c>
      <c r="H56" s="6">
        <v>10</v>
      </c>
      <c r="I56" s="6">
        <v>9.1999999999999993</v>
      </c>
      <c r="J56" s="6">
        <v>9.4</v>
      </c>
      <c r="K56">
        <v>435</v>
      </c>
      <c r="L56">
        <v>359</v>
      </c>
      <c r="N56" s="36">
        <v>45323</v>
      </c>
    </row>
    <row r="57" spans="1:14" x14ac:dyDescent="0.35">
      <c r="A57" s="6" t="s">
        <v>37</v>
      </c>
      <c r="B57" s="6" t="s">
        <v>750</v>
      </c>
      <c r="C57" s="6" t="s">
        <v>813</v>
      </c>
      <c r="D57" s="6" t="s">
        <v>785</v>
      </c>
      <c r="E57" s="6">
        <v>2024</v>
      </c>
      <c r="F57" s="8" t="s">
        <v>636</v>
      </c>
      <c r="G57" s="6">
        <v>51</v>
      </c>
      <c r="H57" s="6">
        <v>7.5</v>
      </c>
      <c r="I57" s="6">
        <v>4.7</v>
      </c>
      <c r="J57" s="6">
        <v>3.1</v>
      </c>
      <c r="N57" s="36">
        <v>45323</v>
      </c>
    </row>
    <row r="58" spans="1:14" x14ac:dyDescent="0.35">
      <c r="A58" s="6" t="s">
        <v>587</v>
      </c>
      <c r="B58" s="6" t="s">
        <v>608</v>
      </c>
      <c r="C58" s="6" t="s">
        <v>814</v>
      </c>
      <c r="D58" s="6" t="s">
        <v>556</v>
      </c>
      <c r="E58" s="6">
        <v>2023</v>
      </c>
      <c r="F58" s="8" t="s">
        <v>571</v>
      </c>
      <c r="G58" s="6">
        <v>95</v>
      </c>
      <c r="H58" s="6">
        <v>10</v>
      </c>
      <c r="I58" s="6">
        <v>9.1999999999999993</v>
      </c>
      <c r="J58" s="6">
        <v>9.4</v>
      </c>
      <c r="K58" s="6">
        <v>570</v>
      </c>
      <c r="L58" s="6">
        <v>522</v>
      </c>
      <c r="N58" s="36">
        <v>45261</v>
      </c>
    </row>
    <row r="59" spans="1:14" x14ac:dyDescent="0.35">
      <c r="A59" s="6" t="s">
        <v>91</v>
      </c>
      <c r="B59" s="6" t="s">
        <v>126</v>
      </c>
      <c r="C59" s="6" t="s">
        <v>815</v>
      </c>
      <c r="D59" s="6" t="s">
        <v>662</v>
      </c>
      <c r="E59" s="6">
        <v>2023</v>
      </c>
      <c r="F59" s="8" t="s">
        <v>571</v>
      </c>
      <c r="G59" s="6">
        <v>97</v>
      </c>
      <c r="H59" s="6">
        <v>10</v>
      </c>
      <c r="I59" s="6">
        <v>9.4</v>
      </c>
      <c r="J59" s="6">
        <v>9.6999999999999993</v>
      </c>
      <c r="K59">
        <v>634</v>
      </c>
      <c r="L59">
        <v>554</v>
      </c>
      <c r="N59" s="36">
        <v>45231</v>
      </c>
    </row>
    <row r="60" spans="1:14" x14ac:dyDescent="0.35">
      <c r="A60" s="6" t="s">
        <v>10</v>
      </c>
      <c r="B60" s="6" t="s">
        <v>584</v>
      </c>
      <c r="C60" s="6" t="s">
        <v>816</v>
      </c>
      <c r="D60" s="6" t="s">
        <v>785</v>
      </c>
      <c r="E60" s="6">
        <v>2023</v>
      </c>
      <c r="F60" s="8" t="s">
        <v>571</v>
      </c>
      <c r="G60" s="6">
        <v>95</v>
      </c>
      <c r="H60" s="6">
        <v>10</v>
      </c>
      <c r="I60" s="6">
        <v>9.1999999999999993</v>
      </c>
      <c r="J60" s="6">
        <v>9.5</v>
      </c>
      <c r="K60">
        <v>379</v>
      </c>
      <c r="L60">
        <v>297</v>
      </c>
      <c r="N60" s="36">
        <v>45231</v>
      </c>
    </row>
    <row r="61" spans="1:14" x14ac:dyDescent="0.35">
      <c r="A61" s="6" t="s">
        <v>106</v>
      </c>
      <c r="B61" s="6" t="s">
        <v>492</v>
      </c>
      <c r="C61" s="6" t="s">
        <v>817</v>
      </c>
      <c r="D61" s="6" t="s">
        <v>632</v>
      </c>
      <c r="E61" s="6">
        <v>2023</v>
      </c>
      <c r="F61" s="8" t="s">
        <v>571</v>
      </c>
      <c r="G61" s="6">
        <v>90</v>
      </c>
      <c r="H61" s="6">
        <v>10</v>
      </c>
      <c r="I61" s="6">
        <v>8.5</v>
      </c>
      <c r="J61" s="6">
        <v>8.6999999999999993</v>
      </c>
      <c r="K61">
        <v>272</v>
      </c>
      <c r="L61">
        <v>217</v>
      </c>
      <c r="N61" s="36">
        <v>45231</v>
      </c>
    </row>
    <row r="62" spans="1:14" x14ac:dyDescent="0.35">
      <c r="A62" s="6" t="s">
        <v>740</v>
      </c>
      <c r="B62" s="6" t="s">
        <v>429</v>
      </c>
      <c r="C62" s="6" t="s">
        <v>818</v>
      </c>
      <c r="D62" s="6" t="s">
        <v>556</v>
      </c>
      <c r="E62" s="6">
        <v>2023</v>
      </c>
      <c r="F62" s="8" t="s">
        <v>784</v>
      </c>
      <c r="G62" s="6">
        <v>48</v>
      </c>
      <c r="H62" s="6">
        <v>5.4</v>
      </c>
      <c r="I62" s="6">
        <v>5</v>
      </c>
      <c r="J62" s="6">
        <v>4.0999999999999996</v>
      </c>
      <c r="K62">
        <v>63</v>
      </c>
      <c r="L62">
        <v>51</v>
      </c>
      <c r="N62" s="36">
        <v>45231</v>
      </c>
    </row>
    <row r="63" spans="1:14" x14ac:dyDescent="0.35">
      <c r="A63" s="6" t="s">
        <v>37</v>
      </c>
      <c r="B63" s="6" t="s">
        <v>751</v>
      </c>
      <c r="C63" s="6" t="s">
        <v>819</v>
      </c>
      <c r="D63" s="6" t="s">
        <v>301</v>
      </c>
      <c r="E63" s="6">
        <v>2023</v>
      </c>
      <c r="F63" s="8" t="s">
        <v>636</v>
      </c>
      <c r="G63" s="6">
        <v>45</v>
      </c>
      <c r="H63" s="6">
        <v>7.7</v>
      </c>
      <c r="I63" s="6">
        <v>3.9</v>
      </c>
      <c r="J63" s="6">
        <v>2.1</v>
      </c>
      <c r="N63" s="36">
        <v>45231</v>
      </c>
    </row>
    <row r="64" spans="1:14" x14ac:dyDescent="0.35">
      <c r="A64" s="6" t="s">
        <v>75</v>
      </c>
      <c r="B64" s="6" t="s">
        <v>373</v>
      </c>
      <c r="C64" s="6" t="s">
        <v>820</v>
      </c>
      <c r="D64" s="6" t="s">
        <v>301</v>
      </c>
      <c r="E64" s="6">
        <v>2023</v>
      </c>
      <c r="F64" s="8" t="s">
        <v>828</v>
      </c>
      <c r="G64" s="6">
        <v>42</v>
      </c>
      <c r="H64" s="6">
        <v>5.5</v>
      </c>
      <c r="I64" s="6">
        <v>4.4000000000000004</v>
      </c>
      <c r="J64" s="6">
        <v>2.7</v>
      </c>
      <c r="N64" s="36">
        <v>45231</v>
      </c>
    </row>
    <row r="65" spans="1:14" x14ac:dyDescent="0.35">
      <c r="A65" s="6" t="s">
        <v>170</v>
      </c>
      <c r="B65" s="6" t="s">
        <v>307</v>
      </c>
      <c r="C65" s="6" t="s">
        <v>821</v>
      </c>
      <c r="D65" s="6" t="s">
        <v>301</v>
      </c>
      <c r="E65" s="6">
        <v>2023</v>
      </c>
      <c r="F65" s="8" t="s">
        <v>636</v>
      </c>
      <c r="G65" s="6">
        <v>41</v>
      </c>
      <c r="H65" s="6">
        <v>5.4</v>
      </c>
      <c r="I65" s="6">
        <v>4.4000000000000004</v>
      </c>
      <c r="J65" s="6">
        <v>2.7</v>
      </c>
      <c r="N65" s="36">
        <v>45231</v>
      </c>
    </row>
    <row r="66" spans="1:14" x14ac:dyDescent="0.35">
      <c r="A66" s="6" t="s">
        <v>102</v>
      </c>
      <c r="B66" s="6" t="s">
        <v>752</v>
      </c>
      <c r="C66" s="6" t="s">
        <v>822</v>
      </c>
      <c r="D66" s="6" t="s">
        <v>785</v>
      </c>
      <c r="E66" s="6">
        <v>2023</v>
      </c>
      <c r="F66" s="8" t="s">
        <v>571</v>
      </c>
      <c r="G66" s="6">
        <v>97</v>
      </c>
      <c r="H66" s="6">
        <v>10</v>
      </c>
      <c r="I66" s="6">
        <v>9.5</v>
      </c>
      <c r="J66" s="6">
        <v>9.6999999999999993</v>
      </c>
      <c r="K66">
        <v>420</v>
      </c>
      <c r="L66">
        <v>333</v>
      </c>
      <c r="N66" s="36">
        <v>45170</v>
      </c>
    </row>
    <row r="67" spans="1:14" x14ac:dyDescent="0.35">
      <c r="A67" s="6" t="s">
        <v>753</v>
      </c>
      <c r="B67" s="6" t="s">
        <v>754</v>
      </c>
      <c r="C67" s="6" t="s">
        <v>823</v>
      </c>
      <c r="D67" s="6" t="s">
        <v>785</v>
      </c>
      <c r="E67" s="6">
        <v>2023</v>
      </c>
      <c r="F67" s="8" t="s">
        <v>571</v>
      </c>
      <c r="G67" s="6">
        <v>97</v>
      </c>
      <c r="H67" s="6">
        <v>10</v>
      </c>
      <c r="I67" s="6">
        <v>9.5</v>
      </c>
      <c r="J67" s="6">
        <v>9.8000000000000007</v>
      </c>
      <c r="K67">
        <v>420</v>
      </c>
      <c r="L67">
        <v>378</v>
      </c>
      <c r="N67" s="36">
        <v>45170</v>
      </c>
    </row>
    <row r="68" spans="1:14" x14ac:dyDescent="0.35">
      <c r="A68" s="6" t="s">
        <v>591</v>
      </c>
      <c r="B68" s="6" t="s">
        <v>313</v>
      </c>
      <c r="C68" s="6" t="s">
        <v>824</v>
      </c>
      <c r="D68" s="6" t="s">
        <v>785</v>
      </c>
      <c r="E68" s="6">
        <v>2023</v>
      </c>
      <c r="F68" s="8" t="s">
        <v>636</v>
      </c>
      <c r="G68" s="6">
        <v>53</v>
      </c>
      <c r="H68" s="6">
        <v>7</v>
      </c>
      <c r="I68" s="6">
        <v>5.2</v>
      </c>
      <c r="J68" s="6">
        <v>3.8</v>
      </c>
      <c r="N68" s="36">
        <v>45170</v>
      </c>
    </row>
    <row r="69" spans="1:14" x14ac:dyDescent="0.35">
      <c r="A69" s="6" t="s">
        <v>195</v>
      </c>
      <c r="B69" s="6" t="s">
        <v>385</v>
      </c>
      <c r="C69" s="6" t="s">
        <v>825</v>
      </c>
      <c r="D69" s="6" t="s">
        <v>541</v>
      </c>
      <c r="E69" s="6">
        <v>2023</v>
      </c>
      <c r="F69" s="8" t="s">
        <v>570</v>
      </c>
      <c r="G69" s="6">
        <v>51</v>
      </c>
      <c r="H69" s="6">
        <v>5.6</v>
      </c>
      <c r="I69" s="6">
        <v>5.5</v>
      </c>
      <c r="J69" s="6">
        <v>4.2</v>
      </c>
      <c r="N69" s="36">
        <v>45170</v>
      </c>
    </row>
    <row r="70" spans="1:14" x14ac:dyDescent="0.35">
      <c r="A70" s="6" t="s">
        <v>81</v>
      </c>
      <c r="B70" s="6" t="s">
        <v>589</v>
      </c>
      <c r="C70" s="6" t="s">
        <v>826</v>
      </c>
      <c r="D70" s="6" t="s">
        <v>662</v>
      </c>
      <c r="E70" s="6">
        <v>2023</v>
      </c>
      <c r="F70" s="8" t="s">
        <v>827</v>
      </c>
      <c r="G70" s="6">
        <v>50</v>
      </c>
      <c r="H70" s="6">
        <v>9.3000000000000007</v>
      </c>
      <c r="I70" s="6">
        <v>4</v>
      </c>
      <c r="J70" s="6">
        <v>1.9</v>
      </c>
      <c r="N70" s="36">
        <v>45170</v>
      </c>
    </row>
    <row r="71" spans="1:14" x14ac:dyDescent="0.35">
      <c r="A71" s="6" t="s">
        <v>32</v>
      </c>
      <c r="B71" s="6" t="s">
        <v>755</v>
      </c>
      <c r="C71" s="6" t="s">
        <v>829</v>
      </c>
      <c r="D71" s="6" t="s">
        <v>662</v>
      </c>
      <c r="E71" s="6">
        <v>2023</v>
      </c>
      <c r="F71" s="8" t="s">
        <v>678</v>
      </c>
      <c r="G71" s="6">
        <v>37</v>
      </c>
      <c r="H71" s="6">
        <v>6.9</v>
      </c>
      <c r="I71" s="6">
        <v>3.4</v>
      </c>
      <c r="J71" s="6">
        <v>0.8</v>
      </c>
      <c r="N71" s="36">
        <v>45170</v>
      </c>
    </row>
    <row r="72" spans="1:14" x14ac:dyDescent="0.35">
      <c r="A72" s="6" t="s">
        <v>49</v>
      </c>
      <c r="B72" s="6" t="s">
        <v>479</v>
      </c>
      <c r="C72" s="6" t="s">
        <v>830</v>
      </c>
      <c r="D72" s="6" t="s">
        <v>578</v>
      </c>
      <c r="E72" s="6">
        <v>2023</v>
      </c>
      <c r="F72" s="8" t="s">
        <v>636</v>
      </c>
      <c r="G72" s="6">
        <v>11</v>
      </c>
      <c r="H72" s="6">
        <v>3.5</v>
      </c>
      <c r="I72" s="6">
        <v>0</v>
      </c>
      <c r="J72" s="6">
        <v>0</v>
      </c>
      <c r="N72" s="36">
        <v>45170</v>
      </c>
    </row>
    <row r="73" spans="1:14" x14ac:dyDescent="0.35">
      <c r="A73" s="6" t="s">
        <v>14</v>
      </c>
      <c r="B73" s="6" t="s">
        <v>397</v>
      </c>
      <c r="C73" s="6" t="s">
        <v>831</v>
      </c>
      <c r="D73" s="6" t="s">
        <v>301</v>
      </c>
      <c r="E73" s="6">
        <v>2023</v>
      </c>
      <c r="F73" s="8" t="s">
        <v>571</v>
      </c>
      <c r="G73" s="6">
        <v>96</v>
      </c>
      <c r="H73" s="6">
        <v>10</v>
      </c>
      <c r="I73" s="6">
        <v>9.4</v>
      </c>
      <c r="J73" s="6">
        <v>9.6</v>
      </c>
      <c r="K73" s="6">
        <v>501</v>
      </c>
      <c r="L73" s="6">
        <v>476</v>
      </c>
      <c r="N73" s="36">
        <v>45078</v>
      </c>
    </row>
    <row r="74" spans="1:14" x14ac:dyDescent="0.35">
      <c r="A74" s="6" t="s">
        <v>37</v>
      </c>
      <c r="B74" s="6" t="s">
        <v>756</v>
      </c>
      <c r="C74" s="6" t="s">
        <v>832</v>
      </c>
      <c r="D74" s="6" t="s">
        <v>785</v>
      </c>
      <c r="E74" s="6">
        <v>2023</v>
      </c>
      <c r="F74" s="8" t="s">
        <v>678</v>
      </c>
      <c r="G74" s="6">
        <v>55</v>
      </c>
      <c r="H74" s="6">
        <v>7.6</v>
      </c>
      <c r="I74" s="6">
        <v>5.2</v>
      </c>
      <c r="J74" s="6">
        <v>3.5</v>
      </c>
      <c r="N74" s="36">
        <v>45078</v>
      </c>
    </row>
    <row r="75" spans="1:14" x14ac:dyDescent="0.35">
      <c r="A75" s="6" t="s">
        <v>195</v>
      </c>
      <c r="B75" s="7" t="s">
        <v>757</v>
      </c>
      <c r="C75" s="6" t="s">
        <v>833</v>
      </c>
      <c r="D75" s="6" t="s">
        <v>541</v>
      </c>
      <c r="E75" s="6">
        <v>2023</v>
      </c>
      <c r="F75" s="8" t="s">
        <v>636</v>
      </c>
      <c r="G75" s="6">
        <v>47</v>
      </c>
      <c r="H75" s="6">
        <v>6.1</v>
      </c>
      <c r="I75" s="6">
        <v>4.8</v>
      </c>
      <c r="J75" s="6">
        <v>3.3</v>
      </c>
      <c r="N75" s="36">
        <v>45078</v>
      </c>
    </row>
    <row r="76" spans="1:14" x14ac:dyDescent="0.35">
      <c r="A76" s="6" t="s">
        <v>81</v>
      </c>
      <c r="B76" s="6" t="s">
        <v>758</v>
      </c>
      <c r="C76" s="6" t="s">
        <v>834</v>
      </c>
      <c r="D76" s="6" t="s">
        <v>781</v>
      </c>
      <c r="E76" s="6">
        <v>2023</v>
      </c>
      <c r="F76" s="1" t="s">
        <v>636</v>
      </c>
      <c r="G76" s="6">
        <v>47</v>
      </c>
      <c r="H76" s="6">
        <v>6.7</v>
      </c>
      <c r="I76" s="6">
        <v>4.5999999999999996</v>
      </c>
      <c r="J76" s="6">
        <v>3</v>
      </c>
      <c r="K76" s="6"/>
      <c r="L76" s="6"/>
      <c r="N76" s="36">
        <v>45078</v>
      </c>
    </row>
    <row r="77" spans="1:14" x14ac:dyDescent="0.35">
      <c r="A77" s="6" t="s">
        <v>49</v>
      </c>
      <c r="B77" s="6" t="s">
        <v>496</v>
      </c>
      <c r="C77" s="6" t="s">
        <v>835</v>
      </c>
      <c r="D77" s="6" t="s">
        <v>632</v>
      </c>
      <c r="E77" s="6">
        <v>2023</v>
      </c>
      <c r="F77" s="8" t="s">
        <v>636</v>
      </c>
      <c r="G77" s="6">
        <v>33</v>
      </c>
      <c r="H77" s="6">
        <v>5.0999999999999996</v>
      </c>
      <c r="I77" s="6">
        <v>3.4</v>
      </c>
      <c r="J77" s="6">
        <v>1.5</v>
      </c>
      <c r="K77" s="6"/>
      <c r="L77" s="6"/>
      <c r="N77" s="36">
        <v>45078</v>
      </c>
    </row>
    <row r="78" spans="1:14" x14ac:dyDescent="0.35">
      <c r="A78" s="6" t="s">
        <v>62</v>
      </c>
      <c r="B78" s="6" t="s">
        <v>393</v>
      </c>
      <c r="C78" s="6" t="s">
        <v>836</v>
      </c>
      <c r="D78" s="6" t="s">
        <v>301</v>
      </c>
      <c r="E78" s="6">
        <v>2023</v>
      </c>
      <c r="F78" s="8" t="s">
        <v>571</v>
      </c>
      <c r="G78" s="6">
        <v>96</v>
      </c>
      <c r="H78" s="6">
        <v>10</v>
      </c>
      <c r="I78" s="6">
        <v>9.3000000000000007</v>
      </c>
      <c r="J78" s="6">
        <v>9.5</v>
      </c>
      <c r="K78" s="6">
        <v>529</v>
      </c>
      <c r="L78" s="6">
        <v>462</v>
      </c>
      <c r="N78" s="36">
        <v>45017</v>
      </c>
    </row>
    <row r="79" spans="1:14" x14ac:dyDescent="0.35">
      <c r="A79" s="6" t="s">
        <v>106</v>
      </c>
      <c r="B79" s="6" t="s">
        <v>370</v>
      </c>
      <c r="C79" s="6" t="s">
        <v>837</v>
      </c>
      <c r="D79" s="6" t="s">
        <v>681</v>
      </c>
      <c r="E79" s="6">
        <v>2023</v>
      </c>
      <c r="F79" s="8" t="s">
        <v>570</v>
      </c>
      <c r="G79" s="6">
        <v>52</v>
      </c>
      <c r="H79" s="6">
        <v>6.6</v>
      </c>
      <c r="I79" s="6">
        <v>5.3</v>
      </c>
      <c r="J79" s="6">
        <v>3.9</v>
      </c>
      <c r="N79" s="36">
        <v>45017</v>
      </c>
    </row>
    <row r="80" spans="1:14" x14ac:dyDescent="0.35">
      <c r="A80" s="6" t="s">
        <v>14</v>
      </c>
      <c r="B80" s="6" t="s">
        <v>311</v>
      </c>
      <c r="C80" s="6" t="s">
        <v>838</v>
      </c>
      <c r="D80" s="6" t="s">
        <v>301</v>
      </c>
      <c r="E80" s="6">
        <v>2023</v>
      </c>
      <c r="F80" s="8" t="s">
        <v>636</v>
      </c>
      <c r="G80" s="6">
        <v>50</v>
      </c>
      <c r="H80" s="6">
        <v>8</v>
      </c>
      <c r="I80" s="6">
        <v>4.4000000000000004</v>
      </c>
      <c r="J80" s="6">
        <v>2.8</v>
      </c>
      <c r="N80" s="36">
        <v>45017</v>
      </c>
    </row>
    <row r="81" spans="1:14" x14ac:dyDescent="0.35">
      <c r="A81" s="6" t="s">
        <v>96</v>
      </c>
      <c r="B81" s="6" t="s">
        <v>759</v>
      </c>
      <c r="C81" s="6" t="s">
        <v>839</v>
      </c>
      <c r="D81" s="6" t="s">
        <v>301</v>
      </c>
      <c r="E81" s="6">
        <v>2023</v>
      </c>
      <c r="F81" s="8" t="s">
        <v>636</v>
      </c>
      <c r="G81" s="6">
        <v>43</v>
      </c>
      <c r="H81" s="6">
        <v>6.6</v>
      </c>
      <c r="I81" s="6">
        <v>4</v>
      </c>
      <c r="J81" s="6">
        <v>2.2999999999999998</v>
      </c>
      <c r="N81" s="36">
        <v>45017</v>
      </c>
    </row>
    <row r="82" spans="1:14" x14ac:dyDescent="0.35">
      <c r="A82" s="6" t="s">
        <v>49</v>
      </c>
      <c r="B82" s="6" t="s">
        <v>184</v>
      </c>
      <c r="C82" s="6" t="s">
        <v>840</v>
      </c>
      <c r="D82" s="6" t="s">
        <v>541</v>
      </c>
      <c r="E82" s="6">
        <v>2023</v>
      </c>
      <c r="F82" s="8" t="s">
        <v>828</v>
      </c>
      <c r="G82" s="6">
        <v>42</v>
      </c>
      <c r="H82" s="6">
        <v>3.9</v>
      </c>
      <c r="I82" s="6">
        <v>5.2</v>
      </c>
      <c r="J82" s="6">
        <v>3.7</v>
      </c>
      <c r="K82" s="6"/>
      <c r="L82" s="6"/>
      <c r="N82" s="36">
        <v>45017</v>
      </c>
    </row>
    <row r="83" spans="1:14" x14ac:dyDescent="0.35">
      <c r="A83" s="6" t="s">
        <v>29</v>
      </c>
      <c r="B83" s="7" t="s">
        <v>760</v>
      </c>
      <c r="C83" s="6" t="s">
        <v>841</v>
      </c>
      <c r="D83" s="6" t="s">
        <v>676</v>
      </c>
      <c r="E83" s="6">
        <v>2023</v>
      </c>
      <c r="F83" s="8" t="s">
        <v>678</v>
      </c>
      <c r="G83" s="6">
        <v>19</v>
      </c>
      <c r="H83" s="6">
        <v>5.3</v>
      </c>
      <c r="I83" s="6">
        <v>0.5</v>
      </c>
      <c r="J83" s="6">
        <v>0</v>
      </c>
      <c r="N83" s="36">
        <v>45017</v>
      </c>
    </row>
    <row r="84" spans="1:14" x14ac:dyDescent="0.35">
      <c r="A84" s="6" t="s">
        <v>738</v>
      </c>
      <c r="B84" s="6" t="s">
        <v>291</v>
      </c>
      <c r="C84" s="6" t="s">
        <v>842</v>
      </c>
      <c r="D84" s="6" t="s">
        <v>301</v>
      </c>
      <c r="E84" s="6">
        <v>2023</v>
      </c>
      <c r="F84" s="8" t="s">
        <v>678</v>
      </c>
      <c r="G84" s="6">
        <v>57</v>
      </c>
      <c r="H84" s="6">
        <v>6.5</v>
      </c>
      <c r="I84" s="6">
        <v>5.8</v>
      </c>
      <c r="J84" s="6">
        <v>4.8</v>
      </c>
      <c r="N84" s="36">
        <v>44958</v>
      </c>
    </row>
    <row r="85" spans="1:14" x14ac:dyDescent="0.35">
      <c r="A85" s="6" t="s">
        <v>24</v>
      </c>
      <c r="B85" s="6" t="s">
        <v>165</v>
      </c>
      <c r="C85" s="6" t="s">
        <v>843</v>
      </c>
      <c r="D85" s="6" t="s">
        <v>541</v>
      </c>
      <c r="E85" s="6">
        <v>2023</v>
      </c>
      <c r="F85" s="8" t="s">
        <v>636</v>
      </c>
      <c r="G85" s="6">
        <v>51</v>
      </c>
      <c r="H85" s="6">
        <v>5.3</v>
      </c>
      <c r="I85" s="6">
        <v>5.7</v>
      </c>
      <c r="J85" s="6">
        <v>4.3</v>
      </c>
      <c r="K85" s="6"/>
      <c r="L85" s="6"/>
      <c r="N85" s="36">
        <v>44958</v>
      </c>
    </row>
    <row r="86" spans="1:14" x14ac:dyDescent="0.35">
      <c r="A86" s="6" t="s">
        <v>14</v>
      </c>
      <c r="B86" s="6" t="s">
        <v>275</v>
      </c>
      <c r="C86" s="6" t="s">
        <v>838</v>
      </c>
      <c r="D86" s="6" t="s">
        <v>632</v>
      </c>
      <c r="E86" s="6">
        <v>2023</v>
      </c>
      <c r="F86" s="8" t="s">
        <v>636</v>
      </c>
      <c r="G86" s="6">
        <v>40</v>
      </c>
      <c r="H86" s="6">
        <v>6.2</v>
      </c>
      <c r="I86" s="6">
        <v>3.9</v>
      </c>
      <c r="J86" s="6">
        <v>2.1</v>
      </c>
      <c r="N86" s="36">
        <v>44958</v>
      </c>
    </row>
    <row r="87" spans="1:14" x14ac:dyDescent="0.35">
      <c r="A87" s="6" t="s">
        <v>49</v>
      </c>
      <c r="B87" s="7" t="s">
        <v>297</v>
      </c>
      <c r="C87" s="6" t="s">
        <v>844</v>
      </c>
      <c r="D87" s="6" t="s">
        <v>541</v>
      </c>
      <c r="E87" s="6">
        <v>2022</v>
      </c>
      <c r="F87" s="8" t="s">
        <v>846</v>
      </c>
      <c r="G87" s="6">
        <v>58</v>
      </c>
      <c r="H87" s="6">
        <v>5.3</v>
      </c>
      <c r="I87" s="6">
        <v>5.3</v>
      </c>
      <c r="J87" s="6">
        <v>6.9</v>
      </c>
      <c r="K87" s="6"/>
      <c r="L87" s="6"/>
      <c r="N87" s="36">
        <v>44896</v>
      </c>
    </row>
    <row r="88" spans="1:14" x14ac:dyDescent="0.35">
      <c r="A88" s="6" t="s">
        <v>49</v>
      </c>
      <c r="B88" s="6" t="s">
        <v>297</v>
      </c>
      <c r="C88" s="6" t="s">
        <v>845</v>
      </c>
      <c r="D88" s="6" t="s">
        <v>541</v>
      </c>
      <c r="E88" s="6">
        <v>2022</v>
      </c>
      <c r="F88" s="8" t="s">
        <v>636</v>
      </c>
      <c r="G88" s="6">
        <v>47</v>
      </c>
      <c r="H88" s="6">
        <v>5.2</v>
      </c>
      <c r="I88" s="6">
        <v>5.2</v>
      </c>
      <c r="J88" s="6">
        <v>3.7</v>
      </c>
      <c r="N88" s="36">
        <v>44896</v>
      </c>
    </row>
    <row r="89" spans="1:14" x14ac:dyDescent="0.35">
      <c r="A89" s="6" t="s">
        <v>49</v>
      </c>
      <c r="B89" s="6" t="s">
        <v>50</v>
      </c>
      <c r="C89" s="6" t="s">
        <v>847</v>
      </c>
      <c r="D89" s="6" t="s">
        <v>785</v>
      </c>
      <c r="E89" s="6">
        <v>2022</v>
      </c>
      <c r="F89" s="8" t="s">
        <v>828</v>
      </c>
      <c r="G89" s="6">
        <v>46</v>
      </c>
      <c r="H89" s="6">
        <v>4.5</v>
      </c>
      <c r="I89" s="6">
        <v>5.3</v>
      </c>
      <c r="J89" s="6">
        <v>4</v>
      </c>
      <c r="N89" s="36">
        <v>44896</v>
      </c>
    </row>
    <row r="90" spans="1:14" x14ac:dyDescent="0.35">
      <c r="A90" s="6" t="s">
        <v>81</v>
      </c>
      <c r="B90" s="6" t="s">
        <v>761</v>
      </c>
      <c r="C90" s="6" t="s">
        <v>848</v>
      </c>
      <c r="D90" s="6" t="s">
        <v>632</v>
      </c>
      <c r="E90" s="6">
        <v>2022</v>
      </c>
      <c r="F90" s="8" t="s">
        <v>636</v>
      </c>
      <c r="G90" s="6">
        <v>42</v>
      </c>
      <c r="H90" s="6">
        <v>7.6</v>
      </c>
      <c r="I90" s="6">
        <v>3.3</v>
      </c>
      <c r="J90" s="6">
        <v>1.7</v>
      </c>
      <c r="N90" s="36">
        <v>44896</v>
      </c>
    </row>
    <row r="91" spans="1:14" x14ac:dyDescent="0.35">
      <c r="A91" s="6" t="s">
        <v>24</v>
      </c>
      <c r="B91" s="6" t="s">
        <v>371</v>
      </c>
      <c r="C91" s="6" t="s">
        <v>849</v>
      </c>
      <c r="D91" s="6" t="s">
        <v>301</v>
      </c>
      <c r="E91" s="6">
        <v>2022</v>
      </c>
      <c r="F91" s="8" t="s">
        <v>828</v>
      </c>
      <c r="G91" s="6">
        <v>32</v>
      </c>
      <c r="H91" s="6">
        <v>5</v>
      </c>
      <c r="I91" s="6">
        <v>3.2</v>
      </c>
      <c r="J91" s="6">
        <v>1.5</v>
      </c>
      <c r="K91" s="6"/>
      <c r="L91" s="6"/>
      <c r="N91" s="36">
        <v>44896</v>
      </c>
    </row>
    <row r="92" spans="1:14" x14ac:dyDescent="0.35">
      <c r="A92" s="6" t="s">
        <v>328</v>
      </c>
      <c r="B92" s="6" t="s">
        <v>762</v>
      </c>
      <c r="C92" s="6" t="s">
        <v>850</v>
      </c>
      <c r="D92" s="6" t="s">
        <v>556</v>
      </c>
      <c r="E92" s="6">
        <v>2022</v>
      </c>
      <c r="F92" s="8" t="s">
        <v>678</v>
      </c>
      <c r="G92" s="6">
        <v>26</v>
      </c>
      <c r="H92" s="6">
        <v>6.8</v>
      </c>
      <c r="I92" s="6">
        <v>1</v>
      </c>
      <c r="J92" s="6">
        <v>0</v>
      </c>
      <c r="N92" s="36">
        <v>44896</v>
      </c>
    </row>
    <row r="93" spans="1:14" x14ac:dyDescent="0.35">
      <c r="A93" s="6" t="s">
        <v>29</v>
      </c>
      <c r="B93" s="6" t="s">
        <v>763</v>
      </c>
      <c r="C93" s="6" t="s">
        <v>851</v>
      </c>
      <c r="D93" s="6" t="s">
        <v>301</v>
      </c>
      <c r="E93" s="6">
        <v>2022</v>
      </c>
      <c r="F93" s="8" t="s">
        <v>571</v>
      </c>
      <c r="G93" s="6">
        <v>94</v>
      </c>
      <c r="H93" s="6">
        <v>10</v>
      </c>
      <c r="I93" s="6">
        <v>9.1</v>
      </c>
      <c r="J93" s="6">
        <v>9.3000000000000007</v>
      </c>
      <c r="K93">
        <v>384</v>
      </c>
      <c r="L93">
        <v>311</v>
      </c>
      <c r="N93" s="36">
        <v>44866</v>
      </c>
    </row>
    <row r="94" spans="1:14" x14ac:dyDescent="0.35">
      <c r="A94" s="6" t="s">
        <v>45</v>
      </c>
      <c r="B94" s="6" t="s">
        <v>294</v>
      </c>
      <c r="C94" s="6" t="s">
        <v>852</v>
      </c>
      <c r="D94" s="6" t="s">
        <v>632</v>
      </c>
      <c r="E94" s="6">
        <v>2022</v>
      </c>
      <c r="F94" s="8" t="s">
        <v>570</v>
      </c>
      <c r="G94" s="6">
        <v>52</v>
      </c>
      <c r="H94" s="6">
        <v>6.7</v>
      </c>
      <c r="I94" s="6">
        <v>5.2</v>
      </c>
      <c r="J94" s="6">
        <v>3.7</v>
      </c>
      <c r="N94" s="36">
        <v>44866</v>
      </c>
    </row>
    <row r="95" spans="1:14" x14ac:dyDescent="0.35">
      <c r="A95" s="6" t="s">
        <v>53</v>
      </c>
      <c r="B95" s="7" t="s">
        <v>775</v>
      </c>
      <c r="C95" s="6" t="s">
        <v>853</v>
      </c>
      <c r="D95" s="6" t="s">
        <v>785</v>
      </c>
      <c r="E95" s="6">
        <v>2022</v>
      </c>
      <c r="F95" s="8" t="s">
        <v>636</v>
      </c>
      <c r="G95" s="6">
        <v>30</v>
      </c>
      <c r="H95" s="6">
        <v>3.5</v>
      </c>
      <c r="I95" s="6">
        <v>3.5</v>
      </c>
      <c r="J95" s="6">
        <v>2</v>
      </c>
      <c r="N95" s="36">
        <v>44866</v>
      </c>
    </row>
    <row r="96" spans="1:14" x14ac:dyDescent="0.35">
      <c r="A96" s="6" t="s">
        <v>91</v>
      </c>
      <c r="B96" s="6" t="s">
        <v>92</v>
      </c>
      <c r="C96" s="6" t="s">
        <v>854</v>
      </c>
      <c r="D96" s="6" t="s">
        <v>781</v>
      </c>
      <c r="E96" s="6">
        <v>2022</v>
      </c>
      <c r="F96" s="8" t="s">
        <v>571</v>
      </c>
      <c r="G96" s="6">
        <v>98</v>
      </c>
      <c r="H96" s="6">
        <v>10</v>
      </c>
      <c r="I96" s="6">
        <v>9.6</v>
      </c>
      <c r="J96" s="6">
        <v>9.8000000000000007</v>
      </c>
      <c r="K96">
        <v>491</v>
      </c>
      <c r="L96">
        <v>390</v>
      </c>
      <c r="N96" s="36">
        <v>44866</v>
      </c>
    </row>
    <row r="97" spans="1:14" x14ac:dyDescent="0.35">
      <c r="A97" t="s">
        <v>598</v>
      </c>
      <c r="B97" t="s">
        <v>764</v>
      </c>
      <c r="C97" t="s">
        <v>855</v>
      </c>
      <c r="D97" t="s">
        <v>662</v>
      </c>
      <c r="E97">
        <v>2022</v>
      </c>
      <c r="F97" s="1" t="s">
        <v>571</v>
      </c>
      <c r="G97">
        <v>96</v>
      </c>
      <c r="H97">
        <v>10</v>
      </c>
      <c r="I97">
        <v>9.4</v>
      </c>
      <c r="J97">
        <v>9.6</v>
      </c>
      <c r="K97">
        <v>580</v>
      </c>
      <c r="L97">
        <v>530</v>
      </c>
      <c r="N97" s="34">
        <v>44866</v>
      </c>
    </row>
    <row r="98" spans="1:14" x14ac:dyDescent="0.35">
      <c r="A98" t="s">
        <v>106</v>
      </c>
      <c r="B98" t="s">
        <v>765</v>
      </c>
      <c r="C98" t="s">
        <v>856</v>
      </c>
      <c r="D98" t="s">
        <v>785</v>
      </c>
      <c r="E98">
        <v>2022</v>
      </c>
      <c r="F98" s="1" t="s">
        <v>571</v>
      </c>
      <c r="G98">
        <v>96</v>
      </c>
      <c r="H98">
        <v>10</v>
      </c>
      <c r="I98">
        <v>9.4</v>
      </c>
      <c r="J98">
        <v>9.6</v>
      </c>
      <c r="K98">
        <v>433</v>
      </c>
      <c r="L98">
        <v>359</v>
      </c>
      <c r="N98" s="34">
        <v>44866</v>
      </c>
    </row>
    <row r="99" spans="1:14" x14ac:dyDescent="0.35">
      <c r="A99" t="s">
        <v>591</v>
      </c>
      <c r="B99" t="s">
        <v>8</v>
      </c>
      <c r="C99" t="s">
        <v>857</v>
      </c>
      <c r="D99" t="s">
        <v>785</v>
      </c>
      <c r="E99">
        <v>2022</v>
      </c>
      <c r="F99" s="1" t="s">
        <v>636</v>
      </c>
      <c r="G99">
        <v>55</v>
      </c>
      <c r="H99">
        <v>5.8</v>
      </c>
      <c r="I99">
        <v>6</v>
      </c>
      <c r="J99">
        <v>4.9000000000000004</v>
      </c>
      <c r="N99" s="34">
        <v>44835</v>
      </c>
    </row>
    <row r="100" spans="1:14" x14ac:dyDescent="0.35">
      <c r="A100" t="s">
        <v>62</v>
      </c>
      <c r="B100" t="s">
        <v>349</v>
      </c>
      <c r="C100" t="s">
        <v>858</v>
      </c>
      <c r="D100" t="s">
        <v>301</v>
      </c>
      <c r="E100">
        <v>2022</v>
      </c>
      <c r="F100" s="1" t="s">
        <v>828</v>
      </c>
      <c r="G100">
        <v>44</v>
      </c>
      <c r="H100">
        <v>7.3</v>
      </c>
      <c r="I100">
        <v>3.9</v>
      </c>
      <c r="J100">
        <v>2.1</v>
      </c>
      <c r="N100" s="34">
        <v>44835</v>
      </c>
    </row>
    <row r="101" spans="1:14" x14ac:dyDescent="0.35">
      <c r="A101" t="s">
        <v>29</v>
      </c>
      <c r="B101" t="s">
        <v>766</v>
      </c>
      <c r="C101" t="s">
        <v>859</v>
      </c>
      <c r="D101" t="s">
        <v>301</v>
      </c>
      <c r="E101">
        <v>2022</v>
      </c>
      <c r="F101" s="1" t="s">
        <v>570</v>
      </c>
      <c r="G101">
        <v>40</v>
      </c>
      <c r="H101">
        <v>4.4000000000000004</v>
      </c>
      <c r="I101">
        <v>4.5</v>
      </c>
      <c r="J101">
        <v>3.1</v>
      </c>
      <c r="N101" s="34">
        <v>44835</v>
      </c>
    </row>
    <row r="102" spans="1:14" x14ac:dyDescent="0.35">
      <c r="A102" t="s">
        <v>27</v>
      </c>
      <c r="B102" t="s">
        <v>28</v>
      </c>
      <c r="C102" t="s">
        <v>860</v>
      </c>
      <c r="D102" t="s">
        <v>785</v>
      </c>
      <c r="E102">
        <v>2022</v>
      </c>
      <c r="F102" s="1" t="s">
        <v>571</v>
      </c>
      <c r="G102">
        <v>96</v>
      </c>
      <c r="H102">
        <v>10</v>
      </c>
      <c r="I102">
        <v>9.3000000000000007</v>
      </c>
      <c r="J102">
        <v>9.6</v>
      </c>
      <c r="K102">
        <v>402</v>
      </c>
      <c r="L102">
        <v>303</v>
      </c>
      <c r="N102" s="34">
        <v>44835</v>
      </c>
    </row>
    <row r="103" spans="1:14" x14ac:dyDescent="0.35">
      <c r="A103" t="s">
        <v>746</v>
      </c>
      <c r="B103" t="s">
        <v>382</v>
      </c>
      <c r="C103" t="s">
        <v>861</v>
      </c>
      <c r="D103" t="s">
        <v>541</v>
      </c>
      <c r="E103">
        <v>2022</v>
      </c>
      <c r="F103" s="1" t="s">
        <v>828</v>
      </c>
      <c r="G103">
        <v>53</v>
      </c>
      <c r="H103">
        <v>4.5</v>
      </c>
      <c r="I103">
        <v>6.3</v>
      </c>
      <c r="J103">
        <v>5.2</v>
      </c>
      <c r="N103" s="34">
        <v>44835</v>
      </c>
    </row>
    <row r="104" spans="1:14" x14ac:dyDescent="0.35">
      <c r="A104" t="s">
        <v>767</v>
      </c>
      <c r="B104" t="s">
        <v>189</v>
      </c>
      <c r="C104" t="s">
        <v>862</v>
      </c>
      <c r="D104" t="s">
        <v>541</v>
      </c>
      <c r="E104">
        <v>2022</v>
      </c>
      <c r="F104" s="1" t="s">
        <v>636</v>
      </c>
      <c r="G104">
        <v>48</v>
      </c>
      <c r="H104">
        <v>5.8</v>
      </c>
      <c r="I104">
        <v>5.0999999999999996</v>
      </c>
      <c r="J104">
        <v>3.7</v>
      </c>
      <c r="N104" s="34">
        <v>44835</v>
      </c>
    </row>
    <row r="105" spans="1:14" x14ac:dyDescent="0.35">
      <c r="A105" t="s">
        <v>195</v>
      </c>
      <c r="B105" t="s">
        <v>279</v>
      </c>
      <c r="C105" t="s">
        <v>863</v>
      </c>
      <c r="D105" t="s">
        <v>541</v>
      </c>
      <c r="E105">
        <v>2022</v>
      </c>
      <c r="F105" s="1" t="s">
        <v>571</v>
      </c>
      <c r="G105">
        <v>99</v>
      </c>
      <c r="H105">
        <v>10</v>
      </c>
      <c r="I105">
        <v>9.8000000000000007</v>
      </c>
      <c r="J105">
        <v>10</v>
      </c>
      <c r="K105">
        <v>230</v>
      </c>
      <c r="L105">
        <v>180</v>
      </c>
      <c r="N105" s="34">
        <v>44774</v>
      </c>
    </row>
    <row r="106" spans="1:14" x14ac:dyDescent="0.35">
      <c r="A106" t="s">
        <v>45</v>
      </c>
      <c r="B106" t="s">
        <v>168</v>
      </c>
      <c r="C106" t="s">
        <v>864</v>
      </c>
      <c r="D106" t="s">
        <v>541</v>
      </c>
      <c r="E106">
        <v>2022</v>
      </c>
      <c r="F106" s="1" t="s">
        <v>636</v>
      </c>
      <c r="G106">
        <v>56</v>
      </c>
      <c r="H106">
        <v>6.2</v>
      </c>
      <c r="I106">
        <v>6</v>
      </c>
      <c r="J106">
        <v>4.8</v>
      </c>
      <c r="N106" s="34">
        <v>44774</v>
      </c>
    </row>
    <row r="107" spans="1:14" x14ac:dyDescent="0.35">
      <c r="A107" t="s">
        <v>768</v>
      </c>
      <c r="B107" t="s">
        <v>377</v>
      </c>
      <c r="C107" t="s">
        <v>865</v>
      </c>
      <c r="D107" t="s">
        <v>301</v>
      </c>
      <c r="E107">
        <v>2022</v>
      </c>
      <c r="F107" s="1" t="s">
        <v>784</v>
      </c>
      <c r="G107">
        <v>61</v>
      </c>
      <c r="H107">
        <v>6.8</v>
      </c>
      <c r="I107">
        <v>6</v>
      </c>
      <c r="J107">
        <v>5.6</v>
      </c>
      <c r="K107">
        <v>69</v>
      </c>
      <c r="L107">
        <v>66</v>
      </c>
      <c r="N107" s="34">
        <v>44743</v>
      </c>
    </row>
    <row r="108" spans="1:14" x14ac:dyDescent="0.35">
      <c r="A108" t="s">
        <v>68</v>
      </c>
      <c r="B108" t="s">
        <v>324</v>
      </c>
      <c r="C108" t="s">
        <v>866</v>
      </c>
      <c r="D108" t="s">
        <v>301</v>
      </c>
      <c r="E108">
        <v>2022</v>
      </c>
      <c r="F108" s="1" t="s">
        <v>570</v>
      </c>
      <c r="G108">
        <v>52</v>
      </c>
      <c r="H108">
        <v>7.5</v>
      </c>
      <c r="I108">
        <v>4.9000000000000004</v>
      </c>
      <c r="J108">
        <v>3.4</v>
      </c>
      <c r="N108" s="34">
        <v>44743</v>
      </c>
    </row>
    <row r="109" spans="1:14" x14ac:dyDescent="0.35">
      <c r="A109" t="s">
        <v>769</v>
      </c>
      <c r="B109" t="s">
        <v>770</v>
      </c>
      <c r="C109" t="s">
        <v>867</v>
      </c>
      <c r="D109" t="s">
        <v>662</v>
      </c>
      <c r="E109">
        <v>2022</v>
      </c>
      <c r="F109" s="1" t="s">
        <v>678</v>
      </c>
      <c r="G109">
        <v>31</v>
      </c>
      <c r="H109">
        <v>5.8</v>
      </c>
      <c r="I109">
        <v>2.9</v>
      </c>
      <c r="J109">
        <v>0.7</v>
      </c>
      <c r="N109" s="34">
        <v>44743</v>
      </c>
    </row>
    <row r="110" spans="1:14" x14ac:dyDescent="0.35">
      <c r="A110" t="s">
        <v>363</v>
      </c>
      <c r="B110" t="s">
        <v>453</v>
      </c>
      <c r="C110" t="s">
        <v>868</v>
      </c>
      <c r="D110" t="s">
        <v>781</v>
      </c>
      <c r="E110">
        <v>2022</v>
      </c>
      <c r="F110" s="1" t="s">
        <v>636</v>
      </c>
      <c r="G110">
        <v>26</v>
      </c>
      <c r="H110">
        <v>5</v>
      </c>
      <c r="I110">
        <v>2.1</v>
      </c>
      <c r="J110">
        <v>0.7</v>
      </c>
      <c r="N110" s="34">
        <v>44743</v>
      </c>
    </row>
    <row r="111" spans="1:14" x14ac:dyDescent="0.35">
      <c r="A111" t="s">
        <v>32</v>
      </c>
      <c r="B111" t="s">
        <v>771</v>
      </c>
      <c r="C111" t="s">
        <v>869</v>
      </c>
      <c r="D111" t="s">
        <v>556</v>
      </c>
      <c r="E111">
        <v>2022</v>
      </c>
      <c r="F111" s="1" t="s">
        <v>571</v>
      </c>
      <c r="G111">
        <v>95</v>
      </c>
      <c r="H111">
        <v>10</v>
      </c>
      <c r="I111">
        <v>9.1999999999999993</v>
      </c>
      <c r="J111">
        <v>9.5</v>
      </c>
      <c r="K111">
        <v>465</v>
      </c>
      <c r="L111">
        <v>369</v>
      </c>
      <c r="N111" s="34">
        <v>44713</v>
      </c>
    </row>
    <row r="112" spans="1:14" x14ac:dyDescent="0.35">
      <c r="A112" t="s">
        <v>29</v>
      </c>
      <c r="B112" t="s">
        <v>772</v>
      </c>
      <c r="C112" t="s">
        <v>870</v>
      </c>
      <c r="D112" t="s">
        <v>301</v>
      </c>
      <c r="E112">
        <v>2022</v>
      </c>
      <c r="F112" s="1" t="s">
        <v>828</v>
      </c>
      <c r="G112">
        <v>44</v>
      </c>
      <c r="H112">
        <v>3.8</v>
      </c>
      <c r="I112">
        <v>5.4</v>
      </c>
      <c r="J112">
        <v>4.0999999999999996</v>
      </c>
      <c r="N112" s="34">
        <v>44713</v>
      </c>
    </row>
    <row r="113" spans="1:14" x14ac:dyDescent="0.35">
      <c r="A113" t="s">
        <v>14</v>
      </c>
      <c r="B113" t="s">
        <v>495</v>
      </c>
      <c r="C113" t="s">
        <v>871</v>
      </c>
      <c r="D113" t="s">
        <v>632</v>
      </c>
      <c r="E113">
        <v>2022</v>
      </c>
      <c r="F113" s="1" t="s">
        <v>636</v>
      </c>
      <c r="G113">
        <v>44</v>
      </c>
      <c r="H113">
        <v>6.4</v>
      </c>
      <c r="I113">
        <v>4.3</v>
      </c>
      <c r="J113">
        <v>2.6</v>
      </c>
      <c r="N113" s="34">
        <v>44713</v>
      </c>
    </row>
    <row r="114" spans="1:14" x14ac:dyDescent="0.35">
      <c r="A114" t="s">
        <v>106</v>
      </c>
      <c r="B114" t="s">
        <v>492</v>
      </c>
      <c r="C114" t="s">
        <v>787</v>
      </c>
      <c r="D114" t="s">
        <v>632</v>
      </c>
      <c r="E114">
        <v>2022</v>
      </c>
      <c r="F114" s="1" t="s">
        <v>636</v>
      </c>
      <c r="G114">
        <v>40</v>
      </c>
      <c r="H114">
        <v>7.2</v>
      </c>
      <c r="I114">
        <v>3.4</v>
      </c>
      <c r="J114">
        <v>1.6</v>
      </c>
      <c r="N114" s="34">
        <v>44713</v>
      </c>
    </row>
    <row r="115" spans="1:14" x14ac:dyDescent="0.35">
      <c r="A115" t="s">
        <v>40</v>
      </c>
      <c r="B115" t="s">
        <v>774</v>
      </c>
      <c r="C115" t="s">
        <v>872</v>
      </c>
      <c r="D115" t="s">
        <v>785</v>
      </c>
      <c r="E115">
        <v>2022</v>
      </c>
      <c r="F115" s="1" t="s">
        <v>636</v>
      </c>
      <c r="G115">
        <v>39</v>
      </c>
      <c r="H115">
        <v>3.9</v>
      </c>
      <c r="I115">
        <v>4.7</v>
      </c>
      <c r="J115">
        <v>3.2</v>
      </c>
      <c r="N115" s="34">
        <v>44713</v>
      </c>
    </row>
    <row r="116" spans="1:14" x14ac:dyDescent="0.35">
      <c r="A116" t="s">
        <v>769</v>
      </c>
      <c r="B116" t="s">
        <v>773</v>
      </c>
      <c r="C116" t="s">
        <v>873</v>
      </c>
      <c r="D116" t="s">
        <v>556</v>
      </c>
      <c r="E116">
        <v>2022</v>
      </c>
      <c r="F116" s="1" t="s">
        <v>636</v>
      </c>
      <c r="G116">
        <v>13</v>
      </c>
      <c r="H116">
        <v>3.4</v>
      </c>
      <c r="I116">
        <v>0.7</v>
      </c>
      <c r="J116">
        <v>0</v>
      </c>
      <c r="N116" s="34">
        <v>44713</v>
      </c>
    </row>
  </sheetData>
  <autoFilter ref="F1:F96" xr:uid="{9F1B3CC6-1E81-455F-BC97-9873015E40FA}"/>
  <mergeCells count="3">
    <mergeCell ref="A1:D1"/>
    <mergeCell ref="G1:J1"/>
    <mergeCell ref="K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957CF-B6ED-4E8C-AE84-E32FA50A5658}">
  <dimension ref="A1:F54"/>
  <sheetViews>
    <sheetView workbookViewId="0">
      <selection activeCell="F3" sqref="F3"/>
    </sheetView>
  </sheetViews>
  <sheetFormatPr baseColWidth="10" defaultRowHeight="14.5" x14ac:dyDescent="0.35"/>
  <cols>
    <col min="2" max="2" width="19.90625" customWidth="1"/>
    <col min="3" max="3" width="13.6328125" customWidth="1"/>
  </cols>
  <sheetData>
    <row r="1" spans="1:6" x14ac:dyDescent="0.35">
      <c r="A1" t="s">
        <v>10</v>
      </c>
      <c r="B1" t="s">
        <v>11</v>
      </c>
      <c r="C1" s="1" t="s">
        <v>9</v>
      </c>
      <c r="D1">
        <v>2024</v>
      </c>
      <c r="E1" t="s">
        <v>22</v>
      </c>
      <c r="F1">
        <v>16690</v>
      </c>
    </row>
    <row r="2" spans="1:6" x14ac:dyDescent="0.35">
      <c r="A2" t="s">
        <v>45</v>
      </c>
      <c r="B2" t="s">
        <v>46</v>
      </c>
      <c r="C2" s="1" t="s">
        <v>9</v>
      </c>
      <c r="D2">
        <v>2023</v>
      </c>
      <c r="E2" t="s">
        <v>22</v>
      </c>
      <c r="F2">
        <v>26500</v>
      </c>
    </row>
    <row r="3" spans="1:6" x14ac:dyDescent="0.35">
      <c r="A3" t="s">
        <v>68</v>
      </c>
      <c r="B3" t="s">
        <v>69</v>
      </c>
      <c r="C3" s="1" t="s">
        <v>57</v>
      </c>
      <c r="D3">
        <v>2023</v>
      </c>
      <c r="E3" t="s">
        <v>22</v>
      </c>
      <c r="F3">
        <v>33500</v>
      </c>
    </row>
    <row r="4" spans="1:6" x14ac:dyDescent="0.35">
      <c r="A4" t="s">
        <v>45</v>
      </c>
      <c r="B4" t="s">
        <v>74</v>
      </c>
      <c r="C4" s="1" t="s">
        <v>57</v>
      </c>
      <c r="D4">
        <v>2023</v>
      </c>
      <c r="E4" t="s">
        <v>22</v>
      </c>
      <c r="F4">
        <v>30050</v>
      </c>
    </row>
    <row r="5" spans="1:6" x14ac:dyDescent="0.35">
      <c r="A5" t="s">
        <v>45</v>
      </c>
      <c r="B5" t="s">
        <v>109</v>
      </c>
      <c r="C5" s="1" t="s">
        <v>89</v>
      </c>
      <c r="D5">
        <v>2021</v>
      </c>
      <c r="E5" t="s">
        <v>110</v>
      </c>
      <c r="F5">
        <v>29835</v>
      </c>
    </row>
    <row r="6" spans="1:6" x14ac:dyDescent="0.35">
      <c r="A6" t="s">
        <v>129</v>
      </c>
      <c r="B6" t="s">
        <v>130</v>
      </c>
      <c r="C6" s="1" t="s">
        <v>89</v>
      </c>
      <c r="D6">
        <v>2022</v>
      </c>
      <c r="E6" t="s">
        <v>110</v>
      </c>
      <c r="F6">
        <v>58000</v>
      </c>
    </row>
    <row r="7" spans="1:6" x14ac:dyDescent="0.35">
      <c r="A7" t="s">
        <v>129</v>
      </c>
      <c r="B7" t="s">
        <v>150</v>
      </c>
      <c r="C7" s="1" t="s">
        <v>135</v>
      </c>
      <c r="D7">
        <v>2021</v>
      </c>
      <c r="E7" t="s">
        <v>110</v>
      </c>
      <c r="F7">
        <v>139000</v>
      </c>
    </row>
    <row r="8" spans="1:6" x14ac:dyDescent="0.35">
      <c r="A8" t="s">
        <v>45</v>
      </c>
      <c r="B8" t="s">
        <v>177</v>
      </c>
      <c r="C8" s="1" t="s">
        <v>169</v>
      </c>
      <c r="D8">
        <v>2024</v>
      </c>
      <c r="E8" t="s">
        <v>110</v>
      </c>
      <c r="F8">
        <v>21900</v>
      </c>
    </row>
    <row r="9" spans="1:6" x14ac:dyDescent="0.35">
      <c r="A9" t="s">
        <v>60</v>
      </c>
      <c r="B9" t="s">
        <v>178</v>
      </c>
      <c r="C9" s="1" t="s">
        <v>169</v>
      </c>
      <c r="D9">
        <v>2024</v>
      </c>
      <c r="E9" t="s">
        <v>110</v>
      </c>
      <c r="F9">
        <v>25850</v>
      </c>
    </row>
    <row r="10" spans="1:6" x14ac:dyDescent="0.35">
      <c r="A10" t="s">
        <v>68</v>
      </c>
      <c r="B10" t="s">
        <v>185</v>
      </c>
      <c r="C10" s="1" t="s">
        <v>169</v>
      </c>
      <c r="D10">
        <v>2023</v>
      </c>
      <c r="E10" t="s">
        <v>110</v>
      </c>
      <c r="F10">
        <v>26000</v>
      </c>
    </row>
    <row r="11" spans="1:6" x14ac:dyDescent="0.35">
      <c r="A11" t="s">
        <v>106</v>
      </c>
      <c r="B11" t="s">
        <v>187</v>
      </c>
      <c r="C11" s="1" t="s">
        <v>169</v>
      </c>
      <c r="D11">
        <v>2023</v>
      </c>
      <c r="E11" t="s">
        <v>110</v>
      </c>
      <c r="F11">
        <v>22165</v>
      </c>
    </row>
    <row r="12" spans="1:6" x14ac:dyDescent="0.35">
      <c r="A12" t="s">
        <v>170</v>
      </c>
      <c r="B12" t="s">
        <v>188</v>
      </c>
      <c r="C12" s="1" t="s">
        <v>169</v>
      </c>
      <c r="D12">
        <v>2024</v>
      </c>
      <c r="E12" t="s">
        <v>110</v>
      </c>
      <c r="F12">
        <v>26550</v>
      </c>
    </row>
    <row r="13" spans="1:6" x14ac:dyDescent="0.35">
      <c r="A13" t="s">
        <v>129</v>
      </c>
      <c r="B13" t="s">
        <v>232</v>
      </c>
      <c r="C13" s="1" t="s">
        <v>198</v>
      </c>
      <c r="D13">
        <v>2017</v>
      </c>
      <c r="E13" t="s">
        <v>110</v>
      </c>
      <c r="F13">
        <v>139500</v>
      </c>
    </row>
    <row r="14" spans="1:6" x14ac:dyDescent="0.35">
      <c r="A14" t="s">
        <v>45</v>
      </c>
      <c r="B14" t="s">
        <v>248</v>
      </c>
      <c r="C14" s="1" t="s">
        <v>238</v>
      </c>
      <c r="D14">
        <v>2023</v>
      </c>
      <c r="E14" t="s">
        <v>110</v>
      </c>
      <c r="F14">
        <v>28000</v>
      </c>
    </row>
    <row r="15" spans="1:6" x14ac:dyDescent="0.35">
      <c r="A15" t="s">
        <v>129</v>
      </c>
      <c r="B15" t="s">
        <v>276</v>
      </c>
      <c r="C15" s="1" t="s">
        <v>271</v>
      </c>
      <c r="D15">
        <v>2024</v>
      </c>
      <c r="E15" t="s">
        <v>110</v>
      </c>
      <c r="F15">
        <v>125000</v>
      </c>
    </row>
    <row r="16" spans="1:6" x14ac:dyDescent="0.35">
      <c r="A16" t="s">
        <v>68</v>
      </c>
      <c r="B16" t="s">
        <v>286</v>
      </c>
      <c r="C16" s="1" t="s">
        <v>301</v>
      </c>
      <c r="D16">
        <v>2023</v>
      </c>
      <c r="E16" t="s">
        <v>110</v>
      </c>
      <c r="F16">
        <v>27750</v>
      </c>
    </row>
    <row r="17" spans="1:6" x14ac:dyDescent="0.35">
      <c r="A17" t="s">
        <v>45</v>
      </c>
      <c r="B17" t="s">
        <v>294</v>
      </c>
      <c r="C17" s="1" t="s">
        <v>301</v>
      </c>
      <c r="D17">
        <v>2024</v>
      </c>
      <c r="E17" t="s">
        <v>110</v>
      </c>
      <c r="F17">
        <v>27575</v>
      </c>
    </row>
    <row r="18" spans="1:6" x14ac:dyDescent="0.35">
      <c r="A18" t="s">
        <v>172</v>
      </c>
      <c r="B18" t="s">
        <v>296</v>
      </c>
      <c r="C18" s="1" t="s">
        <v>301</v>
      </c>
      <c r="D18">
        <v>2024</v>
      </c>
      <c r="E18" t="s">
        <v>110</v>
      </c>
      <c r="F18">
        <v>28397</v>
      </c>
    </row>
    <row r="19" spans="1:6" x14ac:dyDescent="0.35">
      <c r="A19" t="s">
        <v>129</v>
      </c>
      <c r="B19" t="s">
        <v>298</v>
      </c>
      <c r="C19" s="1" t="s">
        <v>301</v>
      </c>
      <c r="D19">
        <v>2024</v>
      </c>
      <c r="E19" t="s">
        <v>110</v>
      </c>
      <c r="F19">
        <v>33900</v>
      </c>
    </row>
    <row r="20" spans="1:6" x14ac:dyDescent="0.35">
      <c r="A20" t="s">
        <v>62</v>
      </c>
      <c r="B20" t="s">
        <v>303</v>
      </c>
      <c r="C20" s="1" t="s">
        <v>300</v>
      </c>
      <c r="D20">
        <v>2020</v>
      </c>
      <c r="E20" t="s">
        <v>110</v>
      </c>
      <c r="F20">
        <v>26000</v>
      </c>
    </row>
    <row r="21" spans="1:6" x14ac:dyDescent="0.35">
      <c r="A21" t="s">
        <v>170</v>
      </c>
      <c r="B21" t="s">
        <v>307</v>
      </c>
      <c r="C21" s="1" t="s">
        <v>300</v>
      </c>
      <c r="D21">
        <v>2023</v>
      </c>
      <c r="E21" t="s">
        <v>110</v>
      </c>
      <c r="F21">
        <v>31890</v>
      </c>
    </row>
    <row r="22" spans="1:6" x14ac:dyDescent="0.35">
      <c r="A22" t="s">
        <v>106</v>
      </c>
      <c r="B22" t="s">
        <v>312</v>
      </c>
      <c r="C22" s="1" t="s">
        <v>300</v>
      </c>
      <c r="D22">
        <v>2024</v>
      </c>
      <c r="E22" t="s">
        <v>110</v>
      </c>
      <c r="F22">
        <v>26650</v>
      </c>
    </row>
    <row r="23" spans="1:6" x14ac:dyDescent="0.35">
      <c r="A23" t="s">
        <v>172</v>
      </c>
      <c r="B23" t="s">
        <v>319</v>
      </c>
      <c r="C23" s="1" t="s">
        <v>300</v>
      </c>
      <c r="D23">
        <v>2022</v>
      </c>
      <c r="E23" t="s">
        <v>110</v>
      </c>
      <c r="F23">
        <v>31071</v>
      </c>
    </row>
    <row r="24" spans="1:6" x14ac:dyDescent="0.35">
      <c r="A24" t="s">
        <v>68</v>
      </c>
      <c r="B24" t="s">
        <v>324</v>
      </c>
      <c r="C24" s="1" t="s">
        <v>300</v>
      </c>
      <c r="D24">
        <v>2022</v>
      </c>
      <c r="E24" t="s">
        <v>22</v>
      </c>
      <c r="F24">
        <v>32460</v>
      </c>
    </row>
    <row r="25" spans="1:6" x14ac:dyDescent="0.35">
      <c r="A25" t="s">
        <v>195</v>
      </c>
      <c r="B25" t="s">
        <v>325</v>
      </c>
      <c r="C25" s="1" t="s">
        <v>300</v>
      </c>
      <c r="D25">
        <v>2024</v>
      </c>
      <c r="E25" t="s">
        <v>110</v>
      </c>
      <c r="F25">
        <v>26250</v>
      </c>
    </row>
    <row r="26" spans="1:6" x14ac:dyDescent="0.35">
      <c r="A26" t="s">
        <v>45</v>
      </c>
      <c r="B26" t="s">
        <v>327</v>
      </c>
      <c r="C26" s="1" t="s">
        <v>300</v>
      </c>
      <c r="D26">
        <v>2024</v>
      </c>
      <c r="E26" t="s">
        <v>110</v>
      </c>
      <c r="F26">
        <v>32050</v>
      </c>
    </row>
    <row r="27" spans="1:6" x14ac:dyDescent="0.35">
      <c r="A27" t="s">
        <v>106</v>
      </c>
      <c r="B27" t="s">
        <v>346</v>
      </c>
      <c r="C27" s="1" t="s">
        <v>300</v>
      </c>
      <c r="D27">
        <v>2025</v>
      </c>
      <c r="E27" t="s">
        <v>110</v>
      </c>
      <c r="F27">
        <v>29626</v>
      </c>
    </row>
    <row r="28" spans="1:6" x14ac:dyDescent="0.35">
      <c r="A28" t="s">
        <v>62</v>
      </c>
      <c r="B28" t="s">
        <v>349</v>
      </c>
      <c r="C28" s="1" t="s">
        <v>300</v>
      </c>
      <c r="D28">
        <v>2024</v>
      </c>
      <c r="E28" t="s">
        <v>326</v>
      </c>
      <c r="F28">
        <v>32200</v>
      </c>
    </row>
    <row r="29" spans="1:6" x14ac:dyDescent="0.35">
      <c r="A29" t="s">
        <v>45</v>
      </c>
      <c r="B29" t="s">
        <v>356</v>
      </c>
      <c r="C29" s="1" t="s">
        <v>300</v>
      </c>
      <c r="D29">
        <v>2023</v>
      </c>
      <c r="E29" t="s">
        <v>110</v>
      </c>
      <c r="F29">
        <v>38000</v>
      </c>
    </row>
    <row r="30" spans="1:6" x14ac:dyDescent="0.35">
      <c r="A30" t="s">
        <v>129</v>
      </c>
      <c r="B30" t="s">
        <v>362</v>
      </c>
      <c r="C30" s="1" t="s">
        <v>300</v>
      </c>
      <c r="D30">
        <v>2023</v>
      </c>
      <c r="E30" t="s">
        <v>110</v>
      </c>
      <c r="F30">
        <v>41300</v>
      </c>
    </row>
    <row r="31" spans="1:6" x14ac:dyDescent="0.35">
      <c r="A31" t="s">
        <v>29</v>
      </c>
      <c r="B31" t="s">
        <v>366</v>
      </c>
      <c r="C31" s="1" t="s">
        <v>300</v>
      </c>
      <c r="D31">
        <v>2021</v>
      </c>
      <c r="E31" t="s">
        <v>110</v>
      </c>
      <c r="F31">
        <v>40325</v>
      </c>
    </row>
    <row r="32" spans="1:6" x14ac:dyDescent="0.35">
      <c r="A32" t="s">
        <v>29</v>
      </c>
      <c r="B32" t="s">
        <v>368</v>
      </c>
      <c r="C32" s="1" t="s">
        <v>367</v>
      </c>
      <c r="D32">
        <v>2023</v>
      </c>
      <c r="E32" t="s">
        <v>369</v>
      </c>
      <c r="F32">
        <v>33540</v>
      </c>
    </row>
    <row r="33" spans="1:6" x14ac:dyDescent="0.35">
      <c r="A33" t="s">
        <v>106</v>
      </c>
      <c r="B33" t="s">
        <v>370</v>
      </c>
      <c r="C33" s="1" t="s">
        <v>367</v>
      </c>
      <c r="D33">
        <v>2022</v>
      </c>
      <c r="E33" t="s">
        <v>110</v>
      </c>
      <c r="F33">
        <v>35815</v>
      </c>
    </row>
    <row r="34" spans="1:6" x14ac:dyDescent="0.35">
      <c r="A34" t="s">
        <v>24</v>
      </c>
      <c r="B34" t="s">
        <v>371</v>
      </c>
      <c r="C34" s="1" t="s">
        <v>367</v>
      </c>
      <c r="D34">
        <v>2022</v>
      </c>
      <c r="E34" t="s">
        <v>110</v>
      </c>
      <c r="F34">
        <v>33460</v>
      </c>
    </row>
    <row r="35" spans="1:6" x14ac:dyDescent="0.35">
      <c r="A35" t="s">
        <v>195</v>
      </c>
      <c r="B35" t="s">
        <v>385</v>
      </c>
      <c r="C35" s="1" t="s">
        <v>367</v>
      </c>
      <c r="D35">
        <v>2022</v>
      </c>
      <c r="E35" t="s">
        <v>216</v>
      </c>
      <c r="F35">
        <v>25050</v>
      </c>
    </row>
    <row r="36" spans="1:6" x14ac:dyDescent="0.35">
      <c r="A36" t="s">
        <v>106</v>
      </c>
      <c r="B36" t="s">
        <v>387</v>
      </c>
      <c r="C36" s="1" t="s">
        <v>367</v>
      </c>
      <c r="D36">
        <v>2021</v>
      </c>
      <c r="E36" t="s">
        <v>110</v>
      </c>
      <c r="F36">
        <v>29697</v>
      </c>
    </row>
    <row r="37" spans="1:6" x14ac:dyDescent="0.35">
      <c r="A37" t="s">
        <v>68</v>
      </c>
      <c r="B37" t="s">
        <v>388</v>
      </c>
      <c r="C37" s="1" t="s">
        <v>367</v>
      </c>
      <c r="D37">
        <v>2023</v>
      </c>
      <c r="E37" t="s">
        <v>110</v>
      </c>
      <c r="F37">
        <v>39950</v>
      </c>
    </row>
    <row r="38" spans="1:6" x14ac:dyDescent="0.35">
      <c r="A38" t="s">
        <v>195</v>
      </c>
      <c r="B38" t="s">
        <v>389</v>
      </c>
      <c r="C38" s="1" t="s">
        <v>367</v>
      </c>
      <c r="D38">
        <v>2025</v>
      </c>
      <c r="E38" t="s">
        <v>326</v>
      </c>
      <c r="F38">
        <v>29250</v>
      </c>
    </row>
    <row r="39" spans="1:6" x14ac:dyDescent="0.35">
      <c r="A39" t="s">
        <v>45</v>
      </c>
      <c r="B39" t="s">
        <v>398</v>
      </c>
      <c r="C39" s="1" t="s">
        <v>367</v>
      </c>
      <c r="D39">
        <v>2019</v>
      </c>
      <c r="E39" t="s">
        <v>110</v>
      </c>
      <c r="F39">
        <v>41500</v>
      </c>
    </row>
    <row r="40" spans="1:6" x14ac:dyDescent="0.35">
      <c r="A40" t="s">
        <v>129</v>
      </c>
      <c r="B40" t="s">
        <v>407</v>
      </c>
      <c r="C40" s="1" t="s">
        <v>367</v>
      </c>
      <c r="D40">
        <v>2022</v>
      </c>
      <c r="E40" t="s">
        <v>308</v>
      </c>
      <c r="F40">
        <v>58300</v>
      </c>
    </row>
    <row r="41" spans="1:6" x14ac:dyDescent="0.35">
      <c r="A41" t="s">
        <v>363</v>
      </c>
      <c r="B41" t="s">
        <v>409</v>
      </c>
      <c r="C41" s="1" t="s">
        <v>367</v>
      </c>
      <c r="D41">
        <v>2025</v>
      </c>
      <c r="E41" t="s">
        <v>110</v>
      </c>
      <c r="F41">
        <v>41050</v>
      </c>
    </row>
    <row r="42" spans="1:6" x14ac:dyDescent="0.35">
      <c r="A42" t="s">
        <v>62</v>
      </c>
      <c r="B42" t="s">
        <v>410</v>
      </c>
      <c r="C42" s="1" t="s">
        <v>367</v>
      </c>
      <c r="D42">
        <v>2023</v>
      </c>
      <c r="E42" t="s">
        <v>110</v>
      </c>
      <c r="F42">
        <v>32900</v>
      </c>
    </row>
    <row r="43" spans="1:6" x14ac:dyDescent="0.35">
      <c r="A43" t="s">
        <v>68</v>
      </c>
      <c r="B43" t="s">
        <v>418</v>
      </c>
      <c r="C43" s="1" t="s">
        <v>416</v>
      </c>
      <c r="D43">
        <v>2023</v>
      </c>
      <c r="E43" t="s">
        <v>110</v>
      </c>
      <c r="F43">
        <v>48145</v>
      </c>
    </row>
    <row r="44" spans="1:6" x14ac:dyDescent="0.35">
      <c r="A44" t="s">
        <v>106</v>
      </c>
      <c r="B44" t="s">
        <v>421</v>
      </c>
      <c r="C44" s="1" t="s">
        <v>416</v>
      </c>
      <c r="D44">
        <v>2024</v>
      </c>
      <c r="E44" t="s">
        <v>110</v>
      </c>
      <c r="F44">
        <v>41807</v>
      </c>
    </row>
    <row r="45" spans="1:6" x14ac:dyDescent="0.35">
      <c r="A45" t="s">
        <v>106</v>
      </c>
      <c r="B45" t="s">
        <v>424</v>
      </c>
      <c r="C45" s="1" t="s">
        <v>416</v>
      </c>
      <c r="D45">
        <v>2023</v>
      </c>
      <c r="E45" t="s">
        <v>110</v>
      </c>
      <c r="F45">
        <v>39482</v>
      </c>
    </row>
    <row r="46" spans="1:6" x14ac:dyDescent="0.35">
      <c r="A46" t="s">
        <v>29</v>
      </c>
      <c r="B46" t="s">
        <v>450</v>
      </c>
      <c r="C46" s="1" t="s">
        <v>416</v>
      </c>
      <c r="D46">
        <v>2024</v>
      </c>
      <c r="E46" t="s">
        <v>308</v>
      </c>
      <c r="F46">
        <v>59020</v>
      </c>
    </row>
    <row r="47" spans="1:6" x14ac:dyDescent="0.35">
      <c r="A47" t="s">
        <v>129</v>
      </c>
      <c r="B47" t="s">
        <v>455</v>
      </c>
      <c r="C47" s="1" t="s">
        <v>416</v>
      </c>
      <c r="D47">
        <v>2023</v>
      </c>
      <c r="E47" t="s">
        <v>308</v>
      </c>
      <c r="F47">
        <v>112650</v>
      </c>
    </row>
    <row r="48" spans="1:6" x14ac:dyDescent="0.35">
      <c r="A48" t="s">
        <v>45</v>
      </c>
      <c r="B48" t="s">
        <v>463</v>
      </c>
      <c r="C48" s="1" t="s">
        <v>416</v>
      </c>
      <c r="D48">
        <v>2021</v>
      </c>
      <c r="E48" t="s">
        <v>110</v>
      </c>
      <c r="F48">
        <v>60500</v>
      </c>
    </row>
    <row r="49" spans="1:6" x14ac:dyDescent="0.35">
      <c r="A49" t="s">
        <v>24</v>
      </c>
      <c r="B49" t="s">
        <v>347</v>
      </c>
      <c r="C49" s="1"/>
      <c r="D49">
        <v>2025</v>
      </c>
      <c r="E49" t="s">
        <v>110</v>
      </c>
      <c r="F49">
        <v>26460</v>
      </c>
    </row>
    <row r="50" spans="1:6" x14ac:dyDescent="0.35">
      <c r="A50" t="s">
        <v>24</v>
      </c>
      <c r="B50" t="s">
        <v>448</v>
      </c>
      <c r="C50" s="1"/>
      <c r="D50">
        <v>2025</v>
      </c>
      <c r="E50" t="s">
        <v>110</v>
      </c>
      <c r="F50">
        <v>49360</v>
      </c>
    </row>
    <row r="52" spans="1:6" x14ac:dyDescent="0.35">
      <c r="E52" t="s">
        <v>883</v>
      </c>
      <c r="F52">
        <f>MIN(F1:F50)</f>
        <v>16690</v>
      </c>
    </row>
    <row r="53" spans="1:6" x14ac:dyDescent="0.35">
      <c r="E53" t="s">
        <v>884</v>
      </c>
      <c r="F53">
        <f>MAX(F1:F50)</f>
        <v>139500</v>
      </c>
    </row>
    <row r="54" spans="1:6" x14ac:dyDescent="0.35">
      <c r="E54" t="s">
        <v>885</v>
      </c>
      <c r="F54">
        <v>27000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F821-1918-4515-BE83-88BF374989B7}">
  <dimension ref="A1:F55"/>
  <sheetViews>
    <sheetView workbookViewId="0">
      <selection activeCell="F55" sqref="F55"/>
    </sheetView>
  </sheetViews>
  <sheetFormatPr baseColWidth="10" defaultRowHeight="14.5" x14ac:dyDescent="0.35"/>
  <sheetData>
    <row r="1" spans="1:6" ht="16" x14ac:dyDescent="0.4">
      <c r="A1" s="10"/>
      <c r="B1" s="10"/>
      <c r="C1" s="9"/>
      <c r="D1" s="10"/>
      <c r="E1" s="10"/>
      <c r="F1" s="10"/>
    </row>
    <row r="2" spans="1:6" ht="16" x14ac:dyDescent="0.4">
      <c r="A2" s="10" t="s">
        <v>0</v>
      </c>
      <c r="B2" s="10" t="s">
        <v>1</v>
      </c>
      <c r="C2" s="9" t="s">
        <v>2</v>
      </c>
      <c r="D2" s="10" t="s">
        <v>16</v>
      </c>
      <c r="E2" s="10" t="s">
        <v>17</v>
      </c>
      <c r="F2" s="10" t="s">
        <v>3</v>
      </c>
    </row>
    <row r="3" spans="1:6" x14ac:dyDescent="0.35">
      <c r="A3" t="s">
        <v>10</v>
      </c>
      <c r="B3" t="s">
        <v>11</v>
      </c>
      <c r="C3" s="1" t="s">
        <v>9</v>
      </c>
      <c r="D3">
        <v>2024</v>
      </c>
      <c r="E3" t="s">
        <v>22</v>
      </c>
      <c r="F3">
        <v>293</v>
      </c>
    </row>
    <row r="4" spans="1:6" x14ac:dyDescent="0.35">
      <c r="A4" t="s">
        <v>45</v>
      </c>
      <c r="B4" t="s">
        <v>46</v>
      </c>
      <c r="C4" s="1" t="s">
        <v>9</v>
      </c>
      <c r="D4">
        <v>2023</v>
      </c>
      <c r="E4" t="s">
        <v>22</v>
      </c>
      <c r="F4">
        <v>361</v>
      </c>
    </row>
    <row r="5" spans="1:6" x14ac:dyDescent="0.35">
      <c r="A5" t="s">
        <v>68</v>
      </c>
      <c r="B5" t="s">
        <v>69</v>
      </c>
      <c r="C5" s="1" t="s">
        <v>57</v>
      </c>
      <c r="D5">
        <v>2023</v>
      </c>
      <c r="E5" t="s">
        <v>22</v>
      </c>
      <c r="F5">
        <v>410</v>
      </c>
    </row>
    <row r="6" spans="1:6" x14ac:dyDescent="0.35">
      <c r="A6" t="s">
        <v>45</v>
      </c>
      <c r="B6" t="s">
        <v>74</v>
      </c>
      <c r="C6" s="1" t="s">
        <v>57</v>
      </c>
      <c r="D6">
        <v>2023</v>
      </c>
      <c r="E6" t="s">
        <v>22</v>
      </c>
      <c r="F6">
        <v>471</v>
      </c>
    </row>
    <row r="7" spans="1:6" x14ac:dyDescent="0.35">
      <c r="A7" t="s">
        <v>45</v>
      </c>
      <c r="B7" t="s">
        <v>109</v>
      </c>
      <c r="C7" s="1" t="s">
        <v>89</v>
      </c>
      <c r="D7">
        <v>2021</v>
      </c>
      <c r="E7" t="s">
        <v>110</v>
      </c>
      <c r="F7">
        <v>524</v>
      </c>
    </row>
    <row r="8" spans="1:6" x14ac:dyDescent="0.35">
      <c r="A8" t="s">
        <v>129</v>
      </c>
      <c r="B8" t="s">
        <v>130</v>
      </c>
      <c r="C8" s="1" t="s">
        <v>89</v>
      </c>
      <c r="D8">
        <v>2022</v>
      </c>
      <c r="E8" t="s">
        <v>110</v>
      </c>
      <c r="F8">
        <v>454</v>
      </c>
    </row>
    <row r="9" spans="1:6" x14ac:dyDescent="0.35">
      <c r="A9" t="s">
        <v>129</v>
      </c>
      <c r="B9" t="s">
        <v>150</v>
      </c>
      <c r="C9" s="1" t="s">
        <v>135</v>
      </c>
      <c r="D9">
        <v>2021</v>
      </c>
      <c r="E9" t="s">
        <v>110</v>
      </c>
      <c r="F9">
        <v>430</v>
      </c>
    </row>
    <row r="10" spans="1:6" x14ac:dyDescent="0.35">
      <c r="A10" t="s">
        <v>45</v>
      </c>
      <c r="B10" t="s">
        <v>177</v>
      </c>
      <c r="C10" s="1" t="s">
        <v>169</v>
      </c>
      <c r="D10">
        <v>2024</v>
      </c>
      <c r="E10" t="s">
        <v>110</v>
      </c>
      <c r="F10">
        <v>286</v>
      </c>
    </row>
    <row r="11" spans="1:6" x14ac:dyDescent="0.35">
      <c r="A11" t="s">
        <v>60</v>
      </c>
      <c r="B11" t="s">
        <v>178</v>
      </c>
      <c r="C11" s="1" t="s">
        <v>169</v>
      </c>
      <c r="D11">
        <v>2024</v>
      </c>
      <c r="E11" t="s">
        <v>110</v>
      </c>
      <c r="F11">
        <v>286</v>
      </c>
    </row>
    <row r="12" spans="1:6" x14ac:dyDescent="0.35">
      <c r="A12" t="s">
        <v>68</v>
      </c>
      <c r="B12" t="s">
        <v>185</v>
      </c>
      <c r="C12" s="1" t="s">
        <v>169</v>
      </c>
      <c r="D12">
        <v>2023</v>
      </c>
      <c r="E12" t="s">
        <v>110</v>
      </c>
      <c r="F12">
        <v>304</v>
      </c>
    </row>
    <row r="13" spans="1:6" x14ac:dyDescent="0.35">
      <c r="A13" t="s">
        <v>106</v>
      </c>
      <c r="B13" t="s">
        <v>187</v>
      </c>
      <c r="C13" s="1" t="s">
        <v>169</v>
      </c>
      <c r="D13">
        <v>2023</v>
      </c>
      <c r="E13" t="s">
        <v>110</v>
      </c>
      <c r="F13">
        <v>254</v>
      </c>
    </row>
    <row r="14" spans="1:6" x14ac:dyDescent="0.35">
      <c r="A14" t="s">
        <v>170</v>
      </c>
      <c r="B14" t="s">
        <v>188</v>
      </c>
      <c r="C14" s="1" t="s">
        <v>169</v>
      </c>
      <c r="D14">
        <v>2024</v>
      </c>
      <c r="E14" t="s">
        <v>110</v>
      </c>
      <c r="F14">
        <v>254</v>
      </c>
    </row>
    <row r="15" spans="1:6" x14ac:dyDescent="0.35">
      <c r="A15" t="s">
        <v>129</v>
      </c>
      <c r="B15" t="s">
        <v>232</v>
      </c>
      <c r="C15" s="1" t="s">
        <v>198</v>
      </c>
      <c r="D15">
        <v>2017</v>
      </c>
      <c r="E15" t="s">
        <v>110</v>
      </c>
      <c r="F15">
        <v>197</v>
      </c>
    </row>
    <row r="16" spans="1:6" x14ac:dyDescent="0.35">
      <c r="A16" t="s">
        <v>45</v>
      </c>
      <c r="B16" t="s">
        <v>248</v>
      </c>
      <c r="C16" s="1" t="s">
        <v>238</v>
      </c>
      <c r="D16">
        <v>2023</v>
      </c>
      <c r="E16" t="s">
        <v>110</v>
      </c>
      <c r="F16">
        <v>598</v>
      </c>
    </row>
    <row r="17" spans="1:6" x14ac:dyDescent="0.35">
      <c r="A17" t="s">
        <v>68</v>
      </c>
      <c r="B17" t="s">
        <v>286</v>
      </c>
      <c r="C17" s="1" t="s">
        <v>301</v>
      </c>
      <c r="D17">
        <v>2023</v>
      </c>
      <c r="E17" t="s">
        <v>110</v>
      </c>
      <c r="F17">
        <v>304</v>
      </c>
    </row>
    <row r="18" spans="1:6" x14ac:dyDescent="0.35">
      <c r="A18" t="s">
        <v>45</v>
      </c>
      <c r="B18" t="s">
        <v>294</v>
      </c>
      <c r="C18" s="1" t="s">
        <v>301</v>
      </c>
      <c r="D18">
        <v>2024</v>
      </c>
      <c r="E18" t="s">
        <v>110</v>
      </c>
      <c r="F18">
        <v>397</v>
      </c>
    </row>
    <row r="19" spans="1:6" x14ac:dyDescent="0.35">
      <c r="A19" t="s">
        <v>172</v>
      </c>
      <c r="B19" t="s">
        <v>296</v>
      </c>
      <c r="C19" s="1" t="s">
        <v>301</v>
      </c>
      <c r="D19">
        <v>2024</v>
      </c>
      <c r="E19" t="s">
        <v>110</v>
      </c>
      <c r="F19">
        <v>289</v>
      </c>
    </row>
    <row r="20" spans="1:6" x14ac:dyDescent="0.35">
      <c r="A20" t="s">
        <v>129</v>
      </c>
      <c r="B20" t="s">
        <v>298</v>
      </c>
      <c r="C20" s="1" t="s">
        <v>301</v>
      </c>
      <c r="D20">
        <v>2024</v>
      </c>
      <c r="E20" t="s">
        <v>110</v>
      </c>
      <c r="F20">
        <v>332</v>
      </c>
    </row>
    <row r="21" spans="1:6" x14ac:dyDescent="0.35">
      <c r="A21" t="s">
        <v>62</v>
      </c>
      <c r="B21" t="s">
        <v>303</v>
      </c>
      <c r="C21" s="1" t="s">
        <v>300</v>
      </c>
      <c r="D21">
        <v>2020</v>
      </c>
      <c r="E21" t="s">
        <v>110</v>
      </c>
      <c r="F21">
        <v>354</v>
      </c>
    </row>
    <row r="22" spans="1:6" x14ac:dyDescent="0.35">
      <c r="A22" t="s">
        <v>170</v>
      </c>
      <c r="B22" t="s">
        <v>307</v>
      </c>
      <c r="C22" s="1" t="s">
        <v>300</v>
      </c>
      <c r="D22">
        <v>2023</v>
      </c>
      <c r="E22" t="s">
        <v>110</v>
      </c>
      <c r="F22">
        <v>305</v>
      </c>
    </row>
    <row r="23" spans="1:6" x14ac:dyDescent="0.35">
      <c r="A23" t="s">
        <v>106</v>
      </c>
      <c r="B23" t="s">
        <v>312</v>
      </c>
      <c r="C23" s="1" t="s">
        <v>300</v>
      </c>
      <c r="D23">
        <v>2024</v>
      </c>
      <c r="E23" t="s">
        <v>110</v>
      </c>
      <c r="F23">
        <v>326</v>
      </c>
    </row>
    <row r="24" spans="1:6" x14ac:dyDescent="0.35">
      <c r="A24" t="s">
        <v>172</v>
      </c>
      <c r="B24" t="s">
        <v>319</v>
      </c>
      <c r="C24" s="1" t="s">
        <v>300</v>
      </c>
      <c r="D24">
        <v>2022</v>
      </c>
      <c r="E24" t="s">
        <v>110</v>
      </c>
      <c r="F24">
        <v>293</v>
      </c>
    </row>
    <row r="25" spans="1:6" x14ac:dyDescent="0.35">
      <c r="A25" t="s">
        <v>68</v>
      </c>
      <c r="B25" t="s">
        <v>324</v>
      </c>
      <c r="C25" s="1" t="s">
        <v>300</v>
      </c>
      <c r="D25">
        <v>2022</v>
      </c>
      <c r="E25" t="s">
        <v>22</v>
      </c>
      <c r="F25">
        <v>335</v>
      </c>
    </row>
    <row r="26" spans="1:6" x14ac:dyDescent="0.35">
      <c r="A26" t="s">
        <v>195</v>
      </c>
      <c r="B26" t="s">
        <v>325</v>
      </c>
      <c r="C26" s="1" t="s">
        <v>300</v>
      </c>
      <c r="D26">
        <v>2024</v>
      </c>
      <c r="E26" t="s">
        <v>110</v>
      </c>
      <c r="F26">
        <v>430</v>
      </c>
    </row>
    <row r="27" spans="1:6" x14ac:dyDescent="0.35">
      <c r="A27" t="s">
        <v>45</v>
      </c>
      <c r="B27" t="s">
        <v>327</v>
      </c>
      <c r="C27" s="1" t="s">
        <v>300</v>
      </c>
      <c r="D27">
        <v>2024</v>
      </c>
      <c r="E27" t="s">
        <v>110</v>
      </c>
      <c r="F27">
        <v>388</v>
      </c>
    </row>
    <row r="28" spans="1:6" x14ac:dyDescent="0.35">
      <c r="A28" t="s">
        <v>106</v>
      </c>
      <c r="B28" t="s">
        <v>346</v>
      </c>
      <c r="C28" s="1" t="s">
        <v>300</v>
      </c>
      <c r="D28">
        <v>2025</v>
      </c>
      <c r="E28" t="s">
        <v>110</v>
      </c>
      <c r="F28">
        <v>434</v>
      </c>
    </row>
    <row r="29" spans="1:6" x14ac:dyDescent="0.35">
      <c r="A29" t="s">
        <v>62</v>
      </c>
      <c r="B29" t="s">
        <v>349</v>
      </c>
      <c r="C29" s="1" t="s">
        <v>300</v>
      </c>
      <c r="D29">
        <v>2024</v>
      </c>
      <c r="E29" t="s">
        <v>326</v>
      </c>
      <c r="F29">
        <v>480</v>
      </c>
    </row>
    <row r="30" spans="1:6" x14ac:dyDescent="0.35">
      <c r="A30" t="s">
        <v>45</v>
      </c>
      <c r="B30" t="s">
        <v>356</v>
      </c>
      <c r="C30" s="1" t="s">
        <v>300</v>
      </c>
      <c r="D30">
        <v>2023</v>
      </c>
      <c r="E30" t="s">
        <v>110</v>
      </c>
      <c r="F30">
        <v>433</v>
      </c>
    </row>
    <row r="31" spans="1:6" x14ac:dyDescent="0.35">
      <c r="A31" t="s">
        <v>129</v>
      </c>
      <c r="B31" t="s">
        <v>362</v>
      </c>
      <c r="C31" s="1" t="s">
        <v>300</v>
      </c>
      <c r="D31">
        <v>2023</v>
      </c>
      <c r="E31" t="s">
        <v>110</v>
      </c>
      <c r="F31">
        <v>320</v>
      </c>
    </row>
    <row r="32" spans="1:6" x14ac:dyDescent="0.35">
      <c r="A32" t="s">
        <v>29</v>
      </c>
      <c r="B32" t="s">
        <v>366</v>
      </c>
      <c r="C32" s="1" t="s">
        <v>300</v>
      </c>
      <c r="D32">
        <v>2021</v>
      </c>
      <c r="E32" t="s">
        <v>110</v>
      </c>
      <c r="F32">
        <v>616</v>
      </c>
    </row>
    <row r="33" spans="1:6" x14ac:dyDescent="0.35">
      <c r="A33" t="s">
        <v>29</v>
      </c>
      <c r="B33" t="s">
        <v>368</v>
      </c>
      <c r="C33" s="1" t="s">
        <v>367</v>
      </c>
      <c r="D33">
        <v>2023</v>
      </c>
      <c r="E33" t="s">
        <v>369</v>
      </c>
      <c r="F33">
        <v>466</v>
      </c>
    </row>
    <row r="34" spans="1:6" x14ac:dyDescent="0.35">
      <c r="A34" t="s">
        <v>106</v>
      </c>
      <c r="B34" t="s">
        <v>370</v>
      </c>
      <c r="C34" s="1" t="s">
        <v>367</v>
      </c>
      <c r="D34">
        <v>2022</v>
      </c>
      <c r="E34" t="s">
        <v>110</v>
      </c>
      <c r="F34">
        <v>430</v>
      </c>
    </row>
    <row r="35" spans="1:6" x14ac:dyDescent="0.35">
      <c r="A35" t="s">
        <v>24</v>
      </c>
      <c r="B35" t="s">
        <v>371</v>
      </c>
      <c r="C35" s="1" t="s">
        <v>367</v>
      </c>
      <c r="D35">
        <v>2022</v>
      </c>
      <c r="E35" t="s">
        <v>110</v>
      </c>
      <c r="F35">
        <v>587</v>
      </c>
    </row>
    <row r="36" spans="1:6" x14ac:dyDescent="0.35">
      <c r="A36" t="s">
        <v>195</v>
      </c>
      <c r="B36" t="s">
        <v>385</v>
      </c>
      <c r="C36" s="1" t="s">
        <v>367</v>
      </c>
      <c r="D36">
        <v>2022</v>
      </c>
      <c r="E36" t="s">
        <v>216</v>
      </c>
      <c r="F36">
        <v>565</v>
      </c>
    </row>
    <row r="37" spans="1:6" x14ac:dyDescent="0.35">
      <c r="A37" t="s">
        <v>106</v>
      </c>
      <c r="B37" t="s">
        <v>387</v>
      </c>
      <c r="C37" s="1" t="s">
        <v>367</v>
      </c>
      <c r="D37">
        <v>2021</v>
      </c>
      <c r="E37" t="s">
        <v>110</v>
      </c>
      <c r="F37">
        <v>480</v>
      </c>
    </row>
    <row r="38" spans="1:6" x14ac:dyDescent="0.35">
      <c r="A38" t="s">
        <v>68</v>
      </c>
      <c r="B38" t="s">
        <v>388</v>
      </c>
      <c r="C38" s="1" t="s">
        <v>367</v>
      </c>
      <c r="D38">
        <v>2023</v>
      </c>
      <c r="E38" t="s">
        <v>110</v>
      </c>
      <c r="F38">
        <v>380</v>
      </c>
    </row>
    <row r="39" spans="1:6" x14ac:dyDescent="0.35">
      <c r="A39" t="s">
        <v>195</v>
      </c>
      <c r="B39" t="s">
        <v>389</v>
      </c>
      <c r="C39" s="1" t="s">
        <v>367</v>
      </c>
      <c r="D39">
        <v>2025</v>
      </c>
      <c r="E39" t="s">
        <v>326</v>
      </c>
      <c r="F39">
        <v>667</v>
      </c>
    </row>
    <row r="40" spans="1:6" x14ac:dyDescent="0.35">
      <c r="A40" t="s">
        <v>45</v>
      </c>
      <c r="B40" t="s">
        <v>398</v>
      </c>
      <c r="C40" s="1" t="s">
        <v>367</v>
      </c>
      <c r="D40">
        <v>2019</v>
      </c>
      <c r="E40" t="s">
        <v>110</v>
      </c>
      <c r="F40">
        <v>580</v>
      </c>
    </row>
    <row r="41" spans="1:6" x14ac:dyDescent="0.35">
      <c r="A41" t="s">
        <v>129</v>
      </c>
      <c r="B41" t="s">
        <v>407</v>
      </c>
      <c r="C41" s="1" t="s">
        <v>367</v>
      </c>
      <c r="D41">
        <v>2022</v>
      </c>
      <c r="E41" t="s">
        <v>308</v>
      </c>
      <c r="F41">
        <v>555</v>
      </c>
    </row>
    <row r="42" spans="1:6" x14ac:dyDescent="0.35">
      <c r="A42" t="s">
        <v>363</v>
      </c>
      <c r="B42" t="s">
        <v>409</v>
      </c>
      <c r="C42" s="1" t="s">
        <v>367</v>
      </c>
      <c r="D42">
        <v>2025</v>
      </c>
      <c r="E42" t="s">
        <v>110</v>
      </c>
      <c r="F42">
        <v>508</v>
      </c>
    </row>
    <row r="43" spans="1:6" x14ac:dyDescent="0.35">
      <c r="A43" t="s">
        <v>62</v>
      </c>
      <c r="B43" t="s">
        <v>410</v>
      </c>
      <c r="C43" s="1" t="s">
        <v>367</v>
      </c>
      <c r="D43">
        <v>2023</v>
      </c>
      <c r="E43" t="s">
        <v>110</v>
      </c>
      <c r="F43">
        <v>575</v>
      </c>
    </row>
    <row r="44" spans="1:6" x14ac:dyDescent="0.35">
      <c r="A44" t="s">
        <v>68</v>
      </c>
      <c r="B44" t="s">
        <v>418</v>
      </c>
      <c r="C44" s="1" t="s">
        <v>416</v>
      </c>
      <c r="D44">
        <v>2023</v>
      </c>
      <c r="E44" t="s">
        <v>110</v>
      </c>
      <c r="F44">
        <v>596</v>
      </c>
    </row>
    <row r="45" spans="1:6" x14ac:dyDescent="0.35">
      <c r="A45" t="s">
        <v>106</v>
      </c>
      <c r="B45" t="s">
        <v>421</v>
      </c>
      <c r="C45" s="1" t="s">
        <v>416</v>
      </c>
      <c r="D45">
        <v>2024</v>
      </c>
      <c r="E45" t="s">
        <v>110</v>
      </c>
      <c r="F45">
        <v>530</v>
      </c>
    </row>
    <row r="46" spans="1:6" x14ac:dyDescent="0.35">
      <c r="A46" t="s">
        <v>106</v>
      </c>
      <c r="B46" t="s">
        <v>424</v>
      </c>
      <c r="C46" s="1" t="s">
        <v>416</v>
      </c>
      <c r="D46">
        <v>2023</v>
      </c>
      <c r="E46" t="s">
        <v>110</v>
      </c>
      <c r="F46">
        <v>477</v>
      </c>
    </row>
    <row r="47" spans="1:6" x14ac:dyDescent="0.35">
      <c r="A47" t="s">
        <v>29</v>
      </c>
      <c r="B47" t="s">
        <v>450</v>
      </c>
      <c r="C47" s="1" t="s">
        <v>416</v>
      </c>
      <c r="D47">
        <v>2024</v>
      </c>
      <c r="E47" t="s">
        <v>308</v>
      </c>
      <c r="F47">
        <v>711</v>
      </c>
    </row>
    <row r="48" spans="1:6" x14ac:dyDescent="0.35">
      <c r="A48" t="s">
        <v>129</v>
      </c>
      <c r="B48" t="s">
        <v>455</v>
      </c>
      <c r="C48" s="1" t="s">
        <v>416</v>
      </c>
      <c r="D48">
        <v>2023</v>
      </c>
      <c r="E48" t="s">
        <v>308</v>
      </c>
      <c r="F48">
        <v>461</v>
      </c>
    </row>
    <row r="49" spans="1:6" x14ac:dyDescent="0.35">
      <c r="A49" t="s">
        <v>45</v>
      </c>
      <c r="B49" t="s">
        <v>463</v>
      </c>
      <c r="C49" s="1" t="s">
        <v>416</v>
      </c>
      <c r="D49">
        <v>2021</v>
      </c>
      <c r="E49" t="s">
        <v>110</v>
      </c>
      <c r="F49">
        <v>658</v>
      </c>
    </row>
    <row r="50" spans="1:6" x14ac:dyDescent="0.35">
      <c r="A50" t="s">
        <v>24</v>
      </c>
      <c r="B50" t="s">
        <v>347</v>
      </c>
      <c r="C50" s="1"/>
      <c r="D50">
        <v>2025</v>
      </c>
      <c r="E50" t="s">
        <v>110</v>
      </c>
      <c r="F50">
        <v>451</v>
      </c>
    </row>
    <row r="51" spans="1:6" x14ac:dyDescent="0.35">
      <c r="A51" t="s">
        <v>24</v>
      </c>
      <c r="B51" t="s">
        <v>448</v>
      </c>
      <c r="C51" s="1"/>
      <c r="D51">
        <v>2025</v>
      </c>
      <c r="E51" t="s">
        <v>110</v>
      </c>
      <c r="F51">
        <v>608</v>
      </c>
    </row>
    <row r="53" spans="1:6" x14ac:dyDescent="0.35">
      <c r="E53" t="s">
        <v>883</v>
      </c>
      <c r="F53">
        <f>MIN(F3:F51)</f>
        <v>197</v>
      </c>
    </row>
    <row r="54" spans="1:6" x14ac:dyDescent="0.35">
      <c r="E54" t="s">
        <v>884</v>
      </c>
      <c r="F54">
        <f>MAX(F3:F51)</f>
        <v>711</v>
      </c>
    </row>
    <row r="55" spans="1:6" x14ac:dyDescent="0.35">
      <c r="E55" t="s">
        <v>885</v>
      </c>
      <c r="F55">
        <v>300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652C2-EF65-4A74-A970-E8B0F04C0B39}">
  <dimension ref="A1:P49"/>
  <sheetViews>
    <sheetView zoomScale="90" zoomScaleNormal="90" workbookViewId="0">
      <pane ySplit="2" topLeftCell="A3" activePane="bottomLeft" state="frozen"/>
      <selection pane="bottomLeft" activeCell="L3" sqref="L3"/>
    </sheetView>
  </sheetViews>
  <sheetFormatPr baseColWidth="10" defaultRowHeight="14.5" x14ac:dyDescent="0.35"/>
  <cols>
    <col min="2" max="2" width="18.54296875" bestFit="1" customWidth="1"/>
    <col min="3" max="3" width="15.36328125" bestFit="1" customWidth="1"/>
    <col min="4" max="4" width="10.90625" style="1"/>
    <col min="5" max="5" width="12" style="1" bestFit="1" customWidth="1"/>
    <col min="6" max="7" width="8.36328125" bestFit="1" customWidth="1"/>
    <col min="8" max="8" width="6.26953125" bestFit="1" customWidth="1"/>
    <col min="9" max="9" width="13.36328125" bestFit="1" customWidth="1"/>
    <col min="10" max="10" width="16.1796875" bestFit="1" customWidth="1"/>
    <col min="13" max="13" width="12.90625" bestFit="1" customWidth="1"/>
    <col min="14" max="14" width="9.453125" bestFit="1" customWidth="1"/>
  </cols>
  <sheetData>
    <row r="1" spans="1:16" ht="16" customHeight="1" x14ac:dyDescent="0.4">
      <c r="A1" s="10"/>
      <c r="B1" s="10"/>
      <c r="C1" s="9"/>
      <c r="D1" s="9"/>
      <c r="E1" s="9"/>
      <c r="F1" s="10"/>
      <c r="G1" s="10"/>
      <c r="H1" s="10"/>
      <c r="I1" s="10"/>
      <c r="J1" s="67" t="s">
        <v>85</v>
      </c>
      <c r="K1" s="67"/>
      <c r="M1" s="68" t="s">
        <v>889</v>
      </c>
      <c r="N1" s="68" t="s">
        <v>890</v>
      </c>
      <c r="O1" s="68" t="s">
        <v>886</v>
      </c>
      <c r="P1" s="68" t="s">
        <v>887</v>
      </c>
    </row>
    <row r="2" spans="1:16" s="1" customFormat="1" ht="16" x14ac:dyDescent="0.4">
      <c r="A2" s="9" t="s">
        <v>0</v>
      </c>
      <c r="B2" s="9" t="s">
        <v>1</v>
      </c>
      <c r="C2" s="9" t="s">
        <v>2</v>
      </c>
      <c r="D2" s="9" t="s">
        <v>16</v>
      </c>
      <c r="E2" s="9" t="s">
        <v>17</v>
      </c>
      <c r="F2" s="9" t="s">
        <v>4</v>
      </c>
      <c r="G2" s="9" t="s">
        <v>5</v>
      </c>
      <c r="H2" s="9" t="s">
        <v>6</v>
      </c>
      <c r="I2" s="9" t="s">
        <v>3</v>
      </c>
      <c r="J2" s="9" t="s">
        <v>891</v>
      </c>
      <c r="K2" s="9" t="s">
        <v>888</v>
      </c>
      <c r="L2" s="9" t="s">
        <v>881</v>
      </c>
      <c r="M2" s="67"/>
      <c r="N2" s="67"/>
      <c r="O2" s="68"/>
      <c r="P2" s="67"/>
    </row>
    <row r="3" spans="1:16" x14ac:dyDescent="0.35">
      <c r="A3" t="s">
        <v>10</v>
      </c>
      <c r="B3" t="s">
        <v>11</v>
      </c>
      <c r="C3" s="1" t="s">
        <v>9</v>
      </c>
      <c r="D3" s="1">
        <v>2024</v>
      </c>
      <c r="E3" s="1" t="s">
        <v>570</v>
      </c>
      <c r="F3">
        <v>4113</v>
      </c>
      <c r="G3">
        <v>1797</v>
      </c>
      <c r="H3">
        <v>1502</v>
      </c>
      <c r="I3">
        <v>293</v>
      </c>
      <c r="J3">
        <v>1285</v>
      </c>
      <c r="K3">
        <v>1733</v>
      </c>
      <c r="L3">
        <v>16690</v>
      </c>
      <c r="M3">
        <v>143</v>
      </c>
      <c r="N3">
        <v>425</v>
      </c>
      <c r="O3">
        <v>4.4000000000000004</v>
      </c>
      <c r="P3">
        <v>800</v>
      </c>
    </row>
    <row r="4" spans="1:16" x14ac:dyDescent="0.35">
      <c r="A4" t="s">
        <v>45</v>
      </c>
      <c r="B4" t="s">
        <v>46</v>
      </c>
      <c r="C4" s="1" t="s">
        <v>9</v>
      </c>
      <c r="D4" s="1">
        <v>2023</v>
      </c>
      <c r="E4" s="1" t="s">
        <v>570</v>
      </c>
      <c r="F4">
        <v>4370</v>
      </c>
      <c r="G4">
        <v>1790</v>
      </c>
      <c r="H4">
        <v>1435</v>
      </c>
      <c r="I4">
        <v>361</v>
      </c>
      <c r="J4">
        <v>1345</v>
      </c>
      <c r="K4">
        <v>1820</v>
      </c>
      <c r="L4">
        <v>26500</v>
      </c>
      <c r="M4">
        <v>103</v>
      </c>
      <c r="N4">
        <v>185</v>
      </c>
      <c r="O4">
        <v>4.4000000000000004</v>
      </c>
      <c r="P4">
        <v>980</v>
      </c>
    </row>
    <row r="5" spans="1:16" x14ac:dyDescent="0.35">
      <c r="A5" t="s">
        <v>68</v>
      </c>
      <c r="B5" t="s">
        <v>69</v>
      </c>
      <c r="C5" s="1" t="s">
        <v>57</v>
      </c>
      <c r="D5" s="1">
        <v>2023</v>
      </c>
      <c r="E5" s="1" t="s">
        <v>570</v>
      </c>
      <c r="F5">
        <v>4551</v>
      </c>
      <c r="G5">
        <v>1802</v>
      </c>
      <c r="H5">
        <v>1408</v>
      </c>
      <c r="I5">
        <v>410</v>
      </c>
      <c r="J5">
        <v>1443</v>
      </c>
      <c r="K5">
        <v>1865</v>
      </c>
      <c r="L5">
        <v>33500</v>
      </c>
      <c r="M5">
        <v>160</v>
      </c>
      <c r="N5">
        <v>320</v>
      </c>
      <c r="O5">
        <v>4.7</v>
      </c>
      <c r="P5">
        <v>850</v>
      </c>
    </row>
    <row r="6" spans="1:16" x14ac:dyDescent="0.35">
      <c r="A6" t="s">
        <v>45</v>
      </c>
      <c r="B6" t="s">
        <v>74</v>
      </c>
      <c r="C6" s="1" t="s">
        <v>57</v>
      </c>
      <c r="D6" s="1">
        <v>2023</v>
      </c>
      <c r="E6" s="1" t="s">
        <v>570</v>
      </c>
      <c r="F6">
        <v>4630</v>
      </c>
      <c r="G6">
        <v>1780</v>
      </c>
      <c r="H6">
        <v>1435</v>
      </c>
      <c r="I6">
        <v>471</v>
      </c>
      <c r="J6">
        <v>1355</v>
      </c>
      <c r="K6">
        <v>1835</v>
      </c>
      <c r="L6">
        <v>30050</v>
      </c>
      <c r="M6">
        <v>103</v>
      </c>
      <c r="N6">
        <v>185</v>
      </c>
      <c r="O6">
        <v>4.4000000000000004</v>
      </c>
      <c r="P6">
        <v>980</v>
      </c>
    </row>
    <row r="7" spans="1:16" x14ac:dyDescent="0.35">
      <c r="A7" t="s">
        <v>129</v>
      </c>
      <c r="B7" t="s">
        <v>130</v>
      </c>
      <c r="C7" s="1" t="s">
        <v>89</v>
      </c>
      <c r="D7" s="1">
        <v>2022</v>
      </c>
      <c r="E7" s="1" t="s">
        <v>570</v>
      </c>
      <c r="F7">
        <v>4975</v>
      </c>
      <c r="G7">
        <v>1865</v>
      </c>
      <c r="H7">
        <v>1445</v>
      </c>
      <c r="I7">
        <v>454</v>
      </c>
      <c r="J7">
        <v>1740</v>
      </c>
      <c r="K7">
        <v>2140</v>
      </c>
      <c r="L7">
        <v>58000</v>
      </c>
      <c r="M7">
        <v>88</v>
      </c>
      <c r="N7">
        <v>202</v>
      </c>
      <c r="O7">
        <v>5.3</v>
      </c>
      <c r="P7">
        <v>943</v>
      </c>
    </row>
    <row r="8" spans="1:16" x14ac:dyDescent="0.35">
      <c r="A8" t="s">
        <v>129</v>
      </c>
      <c r="B8" t="s">
        <v>150</v>
      </c>
      <c r="C8" s="1" t="s">
        <v>135</v>
      </c>
      <c r="D8" s="1">
        <v>2021</v>
      </c>
      <c r="E8" s="1" t="s">
        <v>570</v>
      </c>
      <c r="F8">
        <v>5235</v>
      </c>
      <c r="G8">
        <v>1900</v>
      </c>
      <c r="H8">
        <v>1460</v>
      </c>
      <c r="I8">
        <v>430</v>
      </c>
      <c r="J8">
        <v>2395</v>
      </c>
      <c r="K8">
        <v>2795</v>
      </c>
      <c r="L8">
        <v>139000</v>
      </c>
      <c r="M8">
        <v>131</v>
      </c>
      <c r="N8">
        <v>350</v>
      </c>
      <c r="O8">
        <v>9.4</v>
      </c>
      <c r="P8">
        <v>872</v>
      </c>
    </row>
    <row r="9" spans="1:16" x14ac:dyDescent="0.35">
      <c r="A9" t="s">
        <v>45</v>
      </c>
      <c r="B9" t="s">
        <v>177</v>
      </c>
      <c r="C9" s="1" t="s">
        <v>169</v>
      </c>
      <c r="D9" s="1">
        <v>2024</v>
      </c>
      <c r="E9" s="1" t="s">
        <v>570</v>
      </c>
      <c r="F9">
        <v>3940</v>
      </c>
      <c r="G9">
        <v>1745</v>
      </c>
      <c r="H9">
        <v>1500</v>
      </c>
      <c r="I9">
        <v>286</v>
      </c>
      <c r="J9">
        <v>1015</v>
      </c>
      <c r="K9">
        <v>1615</v>
      </c>
      <c r="L9">
        <v>21900</v>
      </c>
      <c r="M9">
        <v>59</v>
      </c>
      <c r="N9">
        <v>160</v>
      </c>
      <c r="O9">
        <v>4.3</v>
      </c>
      <c r="P9">
        <v>835</v>
      </c>
    </row>
    <row r="10" spans="1:16" x14ac:dyDescent="0.35">
      <c r="A10" t="s">
        <v>60</v>
      </c>
      <c r="B10" t="s">
        <v>178</v>
      </c>
      <c r="C10" s="1" t="s">
        <v>169</v>
      </c>
      <c r="D10" s="1">
        <v>2024</v>
      </c>
      <c r="E10" s="1" t="s">
        <v>570</v>
      </c>
      <c r="F10">
        <v>3940</v>
      </c>
      <c r="G10">
        <v>1745</v>
      </c>
      <c r="H10">
        <v>1500</v>
      </c>
      <c r="I10">
        <v>286</v>
      </c>
      <c r="J10">
        <v>1180</v>
      </c>
      <c r="K10">
        <v>1615</v>
      </c>
      <c r="L10">
        <v>25850</v>
      </c>
      <c r="M10">
        <v>85</v>
      </c>
      <c r="N10">
        <v>120</v>
      </c>
      <c r="O10">
        <v>3.8</v>
      </c>
      <c r="P10">
        <v>947</v>
      </c>
    </row>
    <row r="11" spans="1:16" x14ac:dyDescent="0.35">
      <c r="A11" t="s">
        <v>68</v>
      </c>
      <c r="B11" t="s">
        <v>185</v>
      </c>
      <c r="C11" s="1" t="s">
        <v>169</v>
      </c>
      <c r="D11" s="1">
        <v>2023</v>
      </c>
      <c r="E11" s="1" t="s">
        <v>570</v>
      </c>
      <c r="F11">
        <v>4044</v>
      </c>
      <c r="G11">
        <v>1694</v>
      </c>
      <c r="H11">
        <v>1526</v>
      </c>
      <c r="I11">
        <v>304</v>
      </c>
      <c r="J11">
        <v>1230</v>
      </c>
      <c r="K11">
        <v>1690</v>
      </c>
      <c r="L11">
        <v>26000</v>
      </c>
      <c r="M11">
        <v>130</v>
      </c>
      <c r="N11">
        <v>300</v>
      </c>
      <c r="O11">
        <v>4.5999999999999996</v>
      </c>
      <c r="P11">
        <v>870</v>
      </c>
    </row>
    <row r="12" spans="1:16" x14ac:dyDescent="0.35">
      <c r="A12" t="s">
        <v>106</v>
      </c>
      <c r="B12" t="s">
        <v>187</v>
      </c>
      <c r="C12" s="1" t="s">
        <v>169</v>
      </c>
      <c r="D12" s="1">
        <v>2023</v>
      </c>
      <c r="E12" s="1" t="s">
        <v>570</v>
      </c>
      <c r="F12">
        <v>4053</v>
      </c>
      <c r="G12">
        <v>1798</v>
      </c>
      <c r="H12">
        <v>1439</v>
      </c>
      <c r="I12">
        <v>254</v>
      </c>
      <c r="J12">
        <v>1323</v>
      </c>
      <c r="K12">
        <v>1758</v>
      </c>
      <c r="L12">
        <v>22165</v>
      </c>
      <c r="M12">
        <v>105</v>
      </c>
      <c r="N12">
        <v>148</v>
      </c>
      <c r="O12">
        <v>4.0999999999999996</v>
      </c>
      <c r="P12">
        <v>878</v>
      </c>
    </row>
    <row r="13" spans="1:16" x14ac:dyDescent="0.35">
      <c r="A13" t="s">
        <v>170</v>
      </c>
      <c r="B13" t="s">
        <v>188</v>
      </c>
      <c r="C13" s="1" t="s">
        <v>169</v>
      </c>
      <c r="D13" s="1">
        <v>2024</v>
      </c>
      <c r="E13" s="1" t="s">
        <v>570</v>
      </c>
      <c r="F13">
        <v>4053</v>
      </c>
      <c r="G13">
        <v>1798</v>
      </c>
      <c r="H13">
        <v>1439</v>
      </c>
      <c r="I13">
        <v>254</v>
      </c>
      <c r="J13">
        <v>1280</v>
      </c>
      <c r="K13">
        <v>1765</v>
      </c>
      <c r="L13">
        <v>26550</v>
      </c>
      <c r="M13">
        <v>105</v>
      </c>
      <c r="N13">
        <v>205</v>
      </c>
      <c r="O13">
        <v>4.3</v>
      </c>
      <c r="P13">
        <v>905</v>
      </c>
    </row>
    <row r="14" spans="1:16" x14ac:dyDescent="0.35">
      <c r="A14" t="s">
        <v>45</v>
      </c>
      <c r="B14" t="s">
        <v>248</v>
      </c>
      <c r="C14" s="1" t="s">
        <v>238</v>
      </c>
      <c r="D14" s="1">
        <v>2023</v>
      </c>
      <c r="E14" s="1" t="s">
        <v>570</v>
      </c>
      <c r="F14">
        <v>4653</v>
      </c>
      <c r="G14">
        <v>1790</v>
      </c>
      <c r="H14">
        <v>1445</v>
      </c>
      <c r="I14">
        <v>598</v>
      </c>
      <c r="J14">
        <v>1400</v>
      </c>
      <c r="K14">
        <v>1885</v>
      </c>
      <c r="L14">
        <v>28000</v>
      </c>
      <c r="M14">
        <v>103</v>
      </c>
      <c r="N14">
        <v>185</v>
      </c>
      <c r="O14">
        <v>4.5</v>
      </c>
      <c r="P14">
        <v>950</v>
      </c>
    </row>
    <row r="15" spans="1:16" x14ac:dyDescent="0.35">
      <c r="A15" t="s">
        <v>68</v>
      </c>
      <c r="B15" t="s">
        <v>286</v>
      </c>
      <c r="C15" s="1" t="s">
        <v>301</v>
      </c>
      <c r="D15" s="1">
        <v>2023</v>
      </c>
      <c r="E15" s="1" t="s">
        <v>570</v>
      </c>
      <c r="F15">
        <v>4105</v>
      </c>
      <c r="G15">
        <v>1725</v>
      </c>
      <c r="H15">
        <v>1556</v>
      </c>
      <c r="I15">
        <v>304</v>
      </c>
      <c r="J15">
        <v>1248</v>
      </c>
      <c r="K15">
        <v>1690</v>
      </c>
      <c r="L15">
        <v>27750</v>
      </c>
      <c r="M15">
        <v>90</v>
      </c>
      <c r="N15">
        <v>250</v>
      </c>
      <c r="O15">
        <v>4.8</v>
      </c>
      <c r="P15">
        <v>830</v>
      </c>
    </row>
    <row r="16" spans="1:16" x14ac:dyDescent="0.35">
      <c r="A16" t="s">
        <v>45</v>
      </c>
      <c r="B16" t="s">
        <v>294</v>
      </c>
      <c r="C16" s="1" t="s">
        <v>301</v>
      </c>
      <c r="D16" s="1">
        <v>2024</v>
      </c>
      <c r="E16" s="1" t="s">
        <v>570</v>
      </c>
      <c r="F16">
        <v>4180</v>
      </c>
      <c r="G16">
        <v>1765</v>
      </c>
      <c r="H16">
        <v>1595</v>
      </c>
      <c r="I16">
        <v>397</v>
      </c>
      <c r="J16">
        <v>1615</v>
      </c>
      <c r="K16">
        <v>2440</v>
      </c>
      <c r="L16">
        <v>27575</v>
      </c>
      <c r="M16">
        <v>96</v>
      </c>
      <c r="N16">
        <v>185</v>
      </c>
      <c r="O16">
        <v>4.5</v>
      </c>
      <c r="P16">
        <v>800</v>
      </c>
    </row>
    <row r="17" spans="1:16" x14ac:dyDescent="0.35">
      <c r="A17" t="s">
        <v>172</v>
      </c>
      <c r="B17" t="s">
        <v>296</v>
      </c>
      <c r="C17" s="1" t="s">
        <v>301</v>
      </c>
      <c r="D17" s="1">
        <v>2024</v>
      </c>
      <c r="E17" s="1" t="s">
        <v>570</v>
      </c>
      <c r="F17">
        <v>4185</v>
      </c>
      <c r="G17">
        <v>1775</v>
      </c>
      <c r="H17">
        <v>1600</v>
      </c>
      <c r="I17">
        <v>289</v>
      </c>
      <c r="J17">
        <f>1320-75</f>
        <v>1245</v>
      </c>
      <c r="K17">
        <v>1770</v>
      </c>
      <c r="L17">
        <v>28397</v>
      </c>
      <c r="M17">
        <v>75</v>
      </c>
      <c r="N17">
        <v>138</v>
      </c>
      <c r="O17">
        <v>5.6</v>
      </c>
      <c r="P17">
        <v>840</v>
      </c>
    </row>
    <row r="18" spans="1:16" x14ac:dyDescent="0.35">
      <c r="A18" t="s">
        <v>129</v>
      </c>
      <c r="B18" t="s">
        <v>298</v>
      </c>
      <c r="C18" s="1" t="s">
        <v>301</v>
      </c>
      <c r="D18" s="1">
        <v>2024</v>
      </c>
      <c r="E18" s="1" t="s">
        <v>570</v>
      </c>
      <c r="F18">
        <v>4190</v>
      </c>
      <c r="G18">
        <v>1825</v>
      </c>
      <c r="H18">
        <v>1545</v>
      </c>
      <c r="I18">
        <v>332</v>
      </c>
      <c r="J18">
        <v>1280</v>
      </c>
      <c r="K18">
        <f>J18+75*5+100</f>
        <v>1755</v>
      </c>
      <c r="L18">
        <v>33900</v>
      </c>
      <c r="M18">
        <v>100</v>
      </c>
      <c r="N18">
        <v>185</v>
      </c>
      <c r="O18">
        <v>4.3</v>
      </c>
      <c r="P18">
        <v>800</v>
      </c>
    </row>
    <row r="19" spans="1:16" x14ac:dyDescent="0.35">
      <c r="A19" t="s">
        <v>62</v>
      </c>
      <c r="B19" t="s">
        <v>303</v>
      </c>
      <c r="C19" s="1" t="s">
        <v>300</v>
      </c>
      <c r="D19" s="1">
        <v>2020</v>
      </c>
      <c r="E19" s="1" t="s">
        <v>570</v>
      </c>
      <c r="F19">
        <v>4210</v>
      </c>
      <c r="G19">
        <v>1800</v>
      </c>
      <c r="H19">
        <v>1595</v>
      </c>
      <c r="I19">
        <v>354</v>
      </c>
      <c r="J19">
        <f>1406-75</f>
        <v>1331</v>
      </c>
      <c r="K19">
        <v>1810</v>
      </c>
      <c r="L19">
        <v>26000</v>
      </c>
      <c r="M19">
        <v>105</v>
      </c>
      <c r="N19">
        <v>205</v>
      </c>
      <c r="O19">
        <v>4.8</v>
      </c>
      <c r="P19">
        <v>950</v>
      </c>
    </row>
    <row r="20" spans="1:16" x14ac:dyDescent="0.35">
      <c r="A20" t="s">
        <v>170</v>
      </c>
      <c r="B20" t="s">
        <v>307</v>
      </c>
      <c r="C20" s="1" t="s">
        <v>300</v>
      </c>
      <c r="D20" s="1">
        <v>2023</v>
      </c>
      <c r="E20" s="1" t="s">
        <v>570</v>
      </c>
      <c r="F20">
        <v>4227</v>
      </c>
      <c r="G20">
        <v>1797</v>
      </c>
      <c r="H20">
        <v>1566</v>
      </c>
      <c r="I20">
        <v>305</v>
      </c>
      <c r="J20">
        <v>1363</v>
      </c>
      <c r="K20">
        <v>1896</v>
      </c>
      <c r="L20">
        <v>31890</v>
      </c>
      <c r="M20">
        <v>105</v>
      </c>
      <c r="N20">
        <v>205</v>
      </c>
      <c r="O20">
        <v>4.7</v>
      </c>
      <c r="P20">
        <v>1020</v>
      </c>
    </row>
    <row r="21" spans="1:16" x14ac:dyDescent="0.35">
      <c r="A21" t="s">
        <v>106</v>
      </c>
      <c r="B21" t="s">
        <v>312</v>
      </c>
      <c r="C21" s="1" t="s">
        <v>300</v>
      </c>
      <c r="D21" s="1">
        <v>2024</v>
      </c>
      <c r="E21" s="1" t="s">
        <v>570</v>
      </c>
      <c r="F21">
        <v>4239</v>
      </c>
      <c r="G21">
        <v>1797</v>
      </c>
      <c r="H21">
        <v>1575</v>
      </c>
      <c r="I21">
        <v>326</v>
      </c>
      <c r="J21">
        <v>1370</v>
      </c>
      <c r="K21">
        <v>1800</v>
      </c>
      <c r="L21">
        <v>26650</v>
      </c>
      <c r="M21">
        <v>105</v>
      </c>
      <c r="N21">
        <v>148</v>
      </c>
      <c r="O21">
        <v>4.7</v>
      </c>
      <c r="P21">
        <v>1021</v>
      </c>
    </row>
    <row r="22" spans="1:16" x14ac:dyDescent="0.35">
      <c r="A22" t="s">
        <v>172</v>
      </c>
      <c r="B22" t="s">
        <v>319</v>
      </c>
      <c r="C22" s="1" t="s">
        <v>300</v>
      </c>
      <c r="D22" s="1">
        <v>2022</v>
      </c>
      <c r="E22" s="1" t="s">
        <v>570</v>
      </c>
      <c r="F22">
        <v>4300</v>
      </c>
      <c r="G22">
        <v>1785</v>
      </c>
      <c r="H22">
        <v>1585</v>
      </c>
      <c r="I22">
        <v>293</v>
      </c>
      <c r="J22">
        <f>1290-75</f>
        <v>1215</v>
      </c>
      <c r="K22">
        <v>1740</v>
      </c>
      <c r="L22">
        <v>31071</v>
      </c>
      <c r="M22">
        <v>75</v>
      </c>
      <c r="N22">
        <v>138</v>
      </c>
      <c r="O22">
        <v>5.0999999999999996</v>
      </c>
      <c r="P22">
        <v>920</v>
      </c>
    </row>
    <row r="23" spans="1:16" x14ac:dyDescent="0.35">
      <c r="A23" t="s">
        <v>68</v>
      </c>
      <c r="B23" t="s">
        <v>324</v>
      </c>
      <c r="C23" s="1" t="s">
        <v>300</v>
      </c>
      <c r="D23" s="1">
        <v>2022</v>
      </c>
      <c r="E23" s="1" t="s">
        <v>570</v>
      </c>
      <c r="F23">
        <v>4340</v>
      </c>
      <c r="G23">
        <v>1790</v>
      </c>
      <c r="H23">
        <v>1582</v>
      </c>
      <c r="I23">
        <v>335</v>
      </c>
      <c r="J23">
        <v>1380</v>
      </c>
      <c r="K23">
        <v>1870</v>
      </c>
      <c r="L23">
        <v>32460</v>
      </c>
      <c r="M23">
        <f>96+79</f>
        <v>175</v>
      </c>
      <c r="N23">
        <v>250</v>
      </c>
      <c r="O23">
        <v>5.4</v>
      </c>
      <c r="P23">
        <v>740</v>
      </c>
    </row>
    <row r="24" spans="1:16" x14ac:dyDescent="0.35">
      <c r="A24" t="s">
        <v>195</v>
      </c>
      <c r="B24" t="s">
        <v>325</v>
      </c>
      <c r="C24" s="1" t="s">
        <v>300</v>
      </c>
      <c r="D24" s="1">
        <v>2024</v>
      </c>
      <c r="E24" s="1" t="s">
        <v>570</v>
      </c>
      <c r="F24">
        <v>4344</v>
      </c>
      <c r="G24">
        <v>1813</v>
      </c>
      <c r="H24">
        <v>1656</v>
      </c>
      <c r="I24">
        <v>430</v>
      </c>
      <c r="J24">
        <v>1380</v>
      </c>
      <c r="K24">
        <v>1870</v>
      </c>
      <c r="L24">
        <v>26250</v>
      </c>
      <c r="M24">
        <v>104</v>
      </c>
      <c r="N24">
        <v>148</v>
      </c>
      <c r="O24">
        <v>5</v>
      </c>
      <c r="P24">
        <f>50/O24*100</f>
        <v>1000</v>
      </c>
    </row>
    <row r="25" spans="1:16" x14ac:dyDescent="0.35">
      <c r="A25" t="s">
        <v>45</v>
      </c>
      <c r="B25" t="s">
        <v>327</v>
      </c>
      <c r="C25" s="1" t="s">
        <v>300</v>
      </c>
      <c r="D25" s="1">
        <v>2024</v>
      </c>
      <c r="E25" s="1" t="s">
        <v>570</v>
      </c>
      <c r="F25">
        <v>4360</v>
      </c>
      <c r="G25">
        <v>1830</v>
      </c>
      <c r="H25">
        <v>1570</v>
      </c>
      <c r="I25">
        <v>388</v>
      </c>
      <c r="J25">
        <v>1430</v>
      </c>
      <c r="K25">
        <v>1930</v>
      </c>
      <c r="L25">
        <v>32050</v>
      </c>
      <c r="M25">
        <v>103</v>
      </c>
      <c r="N25">
        <v>185</v>
      </c>
      <c r="O25">
        <v>4.7</v>
      </c>
      <c r="P25">
        <v>915</v>
      </c>
    </row>
    <row r="26" spans="1:16" x14ac:dyDescent="0.35">
      <c r="A26" t="s">
        <v>106</v>
      </c>
      <c r="B26" t="s">
        <v>346</v>
      </c>
      <c r="C26" s="1" t="s">
        <v>300</v>
      </c>
      <c r="D26" s="1">
        <v>2025</v>
      </c>
      <c r="E26" s="1" t="s">
        <v>570</v>
      </c>
      <c r="F26">
        <v>4413</v>
      </c>
      <c r="G26">
        <v>1797</v>
      </c>
      <c r="H26">
        <v>1575</v>
      </c>
      <c r="I26">
        <v>434</v>
      </c>
      <c r="J26">
        <v>1423</v>
      </c>
      <c r="K26">
        <v>1925</v>
      </c>
      <c r="L26">
        <v>29626</v>
      </c>
      <c r="M26">
        <v>106</v>
      </c>
      <c r="N26">
        <v>250</v>
      </c>
      <c r="O26">
        <v>4.7</v>
      </c>
      <c r="P26">
        <v>1000</v>
      </c>
    </row>
    <row r="27" spans="1:16" x14ac:dyDescent="0.35">
      <c r="A27" t="s">
        <v>62</v>
      </c>
      <c r="B27" t="s">
        <v>349</v>
      </c>
      <c r="C27" s="1" t="s">
        <v>300</v>
      </c>
      <c r="D27" s="1">
        <v>2024</v>
      </c>
      <c r="E27" s="1" t="s">
        <v>570</v>
      </c>
      <c r="F27">
        <v>4425</v>
      </c>
      <c r="G27">
        <v>1838</v>
      </c>
      <c r="H27">
        <v>1635</v>
      </c>
      <c r="I27">
        <v>480</v>
      </c>
      <c r="J27">
        <f>1665-75</f>
        <v>1590</v>
      </c>
      <c r="K27">
        <v>2180</v>
      </c>
      <c r="L27">
        <v>32200</v>
      </c>
      <c r="M27">
        <v>140</v>
      </c>
      <c r="N27">
        <v>330</v>
      </c>
      <c r="O27">
        <v>5.0999999999999996</v>
      </c>
      <c r="P27">
        <v>1080</v>
      </c>
    </row>
    <row r="28" spans="1:16" x14ac:dyDescent="0.35">
      <c r="A28" t="s">
        <v>45</v>
      </c>
      <c r="B28" t="s">
        <v>356</v>
      </c>
      <c r="C28" s="1" t="s">
        <v>300</v>
      </c>
      <c r="D28" s="1">
        <v>2023</v>
      </c>
      <c r="E28" s="1" t="s">
        <v>570</v>
      </c>
      <c r="F28">
        <v>4460</v>
      </c>
      <c r="G28">
        <v>1825</v>
      </c>
      <c r="H28">
        <v>1620</v>
      </c>
      <c r="I28">
        <v>433</v>
      </c>
      <c r="J28">
        <v>1380</v>
      </c>
      <c r="K28">
        <v>2012</v>
      </c>
      <c r="L28">
        <v>38000</v>
      </c>
      <c r="M28">
        <v>103</v>
      </c>
      <c r="N28">
        <v>185</v>
      </c>
      <c r="O28">
        <v>5</v>
      </c>
      <c r="P28">
        <v>720</v>
      </c>
    </row>
    <row r="29" spans="1:16" x14ac:dyDescent="0.35">
      <c r="A29" t="s">
        <v>129</v>
      </c>
      <c r="B29" t="s">
        <v>362</v>
      </c>
      <c r="C29" s="1" t="s">
        <v>300</v>
      </c>
      <c r="D29" s="1">
        <v>2023</v>
      </c>
      <c r="E29" s="1" t="s">
        <v>570</v>
      </c>
      <c r="F29">
        <v>4495</v>
      </c>
      <c r="G29">
        <v>1840</v>
      </c>
      <c r="H29">
        <v>1540</v>
      </c>
      <c r="I29">
        <v>320</v>
      </c>
      <c r="J29">
        <v>1495</v>
      </c>
      <c r="K29">
        <v>2110</v>
      </c>
      <c r="L29">
        <v>41300</v>
      </c>
      <c r="M29">
        <v>146</v>
      </c>
      <c r="N29">
        <v>206</v>
      </c>
      <c r="O29">
        <v>5</v>
      </c>
      <c r="P29">
        <v>860</v>
      </c>
    </row>
    <row r="30" spans="1:16" x14ac:dyDescent="0.35">
      <c r="A30" t="s">
        <v>29</v>
      </c>
      <c r="B30" t="s">
        <v>366</v>
      </c>
      <c r="C30" s="1" t="s">
        <v>300</v>
      </c>
      <c r="D30" s="1">
        <v>2021</v>
      </c>
      <c r="E30" s="1" t="s">
        <v>570</v>
      </c>
      <c r="F30">
        <v>4500</v>
      </c>
      <c r="G30">
        <v>1865</v>
      </c>
      <c r="H30">
        <v>1650</v>
      </c>
      <c r="I30">
        <v>616</v>
      </c>
      <c r="J30">
        <v>1564</v>
      </c>
      <c r="K30">
        <v>2175</v>
      </c>
      <c r="L30">
        <v>40325</v>
      </c>
      <c r="M30">
        <v>170</v>
      </c>
      <c r="N30">
        <v>350</v>
      </c>
      <c r="O30">
        <v>5.6</v>
      </c>
      <c r="P30">
        <v>965</v>
      </c>
    </row>
    <row r="31" spans="1:16" x14ac:dyDescent="0.35">
      <c r="A31" t="s">
        <v>29</v>
      </c>
      <c r="B31" t="s">
        <v>368</v>
      </c>
      <c r="C31" s="1" t="s">
        <v>367</v>
      </c>
      <c r="D31" s="1">
        <v>2023</v>
      </c>
      <c r="E31" s="1" t="s">
        <v>570</v>
      </c>
      <c r="F31">
        <v>4355</v>
      </c>
      <c r="G31">
        <v>1825</v>
      </c>
      <c r="H31">
        <v>1575</v>
      </c>
      <c r="I31">
        <v>466</v>
      </c>
      <c r="J31">
        <v>1410</v>
      </c>
      <c r="K31">
        <v>1950</v>
      </c>
      <c r="L31">
        <v>33540</v>
      </c>
      <c r="M31">
        <v>94.8</v>
      </c>
      <c r="N31">
        <v>265</v>
      </c>
      <c r="O31">
        <v>4.5</v>
      </c>
      <c r="P31">
        <v>845</v>
      </c>
    </row>
    <row r="32" spans="1:16" x14ac:dyDescent="0.35">
      <c r="A32" t="s">
        <v>106</v>
      </c>
      <c r="B32" t="s">
        <v>370</v>
      </c>
      <c r="C32" s="1" t="s">
        <v>367</v>
      </c>
      <c r="D32" s="1">
        <v>2022</v>
      </c>
      <c r="E32" s="1" t="s">
        <v>570</v>
      </c>
      <c r="F32">
        <v>4510</v>
      </c>
      <c r="G32">
        <v>1825</v>
      </c>
      <c r="H32">
        <v>1618</v>
      </c>
      <c r="I32">
        <v>430</v>
      </c>
      <c r="J32">
        <f>K32-457</f>
        <v>1644</v>
      </c>
      <c r="K32">
        <v>2101</v>
      </c>
      <c r="L32">
        <v>35815</v>
      </c>
      <c r="M32">
        <v>146</v>
      </c>
      <c r="N32">
        <v>205</v>
      </c>
      <c r="O32">
        <v>4.5999999999999996</v>
      </c>
      <c r="P32">
        <v>1200</v>
      </c>
    </row>
    <row r="33" spans="1:16" x14ac:dyDescent="0.35">
      <c r="A33" t="s">
        <v>24</v>
      </c>
      <c r="B33" t="s">
        <v>371</v>
      </c>
      <c r="C33" s="1" t="s">
        <v>367</v>
      </c>
      <c r="D33" s="1">
        <v>2022</v>
      </c>
      <c r="E33" s="1" t="s">
        <v>570</v>
      </c>
      <c r="F33">
        <v>4515</v>
      </c>
      <c r="G33">
        <v>1865</v>
      </c>
      <c r="H33">
        <v>1645</v>
      </c>
      <c r="I33">
        <v>587</v>
      </c>
      <c r="J33">
        <v>1500</v>
      </c>
      <c r="K33">
        <v>2175</v>
      </c>
      <c r="L33">
        <v>33460</v>
      </c>
      <c r="M33">
        <v>156.6</v>
      </c>
      <c r="N33">
        <v>350</v>
      </c>
      <c r="O33">
        <v>5.6</v>
      </c>
      <c r="P33">
        <v>925</v>
      </c>
    </row>
    <row r="34" spans="1:16" x14ac:dyDescent="0.35">
      <c r="A34" t="s">
        <v>195</v>
      </c>
      <c r="B34" t="s">
        <v>385</v>
      </c>
      <c r="C34" s="1" t="s">
        <v>367</v>
      </c>
      <c r="D34" s="1">
        <v>2022</v>
      </c>
      <c r="E34" s="1" t="s">
        <v>570</v>
      </c>
      <c r="F34">
        <v>4547</v>
      </c>
      <c r="G34">
        <v>1784</v>
      </c>
      <c r="H34">
        <v>1632</v>
      </c>
      <c r="I34">
        <v>565</v>
      </c>
      <c r="J34">
        <f>K34-468</f>
        <v>1357</v>
      </c>
      <c r="K34">
        <v>1825</v>
      </c>
      <c r="L34">
        <v>25050</v>
      </c>
      <c r="M34">
        <v>104</v>
      </c>
      <c r="N34">
        <v>148</v>
      </c>
      <c r="O34">
        <v>4.7</v>
      </c>
      <c r="P34">
        <v>1065</v>
      </c>
    </row>
    <row r="35" spans="1:16" x14ac:dyDescent="0.35">
      <c r="A35" t="s">
        <v>106</v>
      </c>
      <c r="B35" t="s">
        <v>387</v>
      </c>
      <c r="C35" s="1" t="s">
        <v>367</v>
      </c>
      <c r="D35" s="1">
        <v>2021</v>
      </c>
      <c r="E35" s="1" t="s">
        <v>570</v>
      </c>
      <c r="F35">
        <v>4568</v>
      </c>
      <c r="G35">
        <v>1821</v>
      </c>
      <c r="H35">
        <v>1571</v>
      </c>
      <c r="I35">
        <v>480</v>
      </c>
      <c r="J35">
        <v>1435</v>
      </c>
      <c r="K35">
        <f>J35+526</f>
        <v>1961</v>
      </c>
      <c r="L35">
        <v>29697</v>
      </c>
      <c r="M35">
        <v>103</v>
      </c>
      <c r="N35">
        <v>148</v>
      </c>
      <c r="O35">
        <v>4.7</v>
      </c>
      <c r="P35">
        <v>1060</v>
      </c>
    </row>
    <row r="36" spans="1:16" x14ac:dyDescent="0.35">
      <c r="A36" t="s">
        <v>68</v>
      </c>
      <c r="B36" t="s">
        <v>388</v>
      </c>
      <c r="C36" s="1" t="s">
        <v>367</v>
      </c>
      <c r="D36" s="1">
        <v>2023</v>
      </c>
      <c r="E36" s="1" t="s">
        <v>570</v>
      </c>
      <c r="F36">
        <v>4568</v>
      </c>
      <c r="G36">
        <v>1840</v>
      </c>
      <c r="H36">
        <v>1620</v>
      </c>
      <c r="I36">
        <v>380</v>
      </c>
      <c r="J36">
        <v>1589</v>
      </c>
      <c r="K36">
        <v>2100</v>
      </c>
      <c r="L36">
        <v>39950</v>
      </c>
      <c r="M36">
        <v>135</v>
      </c>
      <c r="N36">
        <v>315</v>
      </c>
      <c r="O36">
        <v>5.7</v>
      </c>
      <c r="P36">
        <v>1000</v>
      </c>
    </row>
    <row r="37" spans="1:16" x14ac:dyDescent="0.35">
      <c r="A37" t="s">
        <v>195</v>
      </c>
      <c r="B37" t="s">
        <v>389</v>
      </c>
      <c r="C37" s="1" t="s">
        <v>367</v>
      </c>
      <c r="D37" s="1">
        <v>2025</v>
      </c>
      <c r="E37" s="1" t="s">
        <v>570</v>
      </c>
      <c r="F37">
        <v>4570</v>
      </c>
      <c r="G37">
        <v>1810</v>
      </c>
      <c r="H37">
        <v>1710</v>
      </c>
      <c r="I37">
        <v>667</v>
      </c>
      <c r="J37">
        <v>1569</v>
      </c>
      <c r="K37">
        <v>1890</v>
      </c>
      <c r="L37">
        <v>29250</v>
      </c>
      <c r="M37">
        <v>104</v>
      </c>
      <c r="N37">
        <v>148</v>
      </c>
      <c r="O37">
        <v>4.8</v>
      </c>
      <c r="P37">
        <v>1040</v>
      </c>
    </row>
    <row r="38" spans="1:16" x14ac:dyDescent="0.35">
      <c r="A38" t="s">
        <v>45</v>
      </c>
      <c r="B38" t="s">
        <v>398</v>
      </c>
      <c r="C38" s="1" t="s">
        <v>367</v>
      </c>
      <c r="D38" s="1">
        <v>2019</v>
      </c>
      <c r="E38" s="1" t="s">
        <v>570</v>
      </c>
      <c r="F38">
        <v>4600</v>
      </c>
      <c r="G38">
        <v>1855</v>
      </c>
      <c r="H38">
        <v>1685</v>
      </c>
      <c r="I38">
        <v>580</v>
      </c>
      <c r="J38">
        <v>1515</v>
      </c>
      <c r="K38">
        <v>2135</v>
      </c>
      <c r="L38">
        <v>41500</v>
      </c>
      <c r="M38">
        <v>103</v>
      </c>
      <c r="N38">
        <v>250</v>
      </c>
      <c r="O38">
        <v>5.7</v>
      </c>
      <c r="P38">
        <v>965</v>
      </c>
    </row>
    <row r="39" spans="1:16" x14ac:dyDescent="0.35">
      <c r="A39" t="s">
        <v>129</v>
      </c>
      <c r="B39" t="s">
        <v>407</v>
      </c>
      <c r="C39" s="1" t="s">
        <v>367</v>
      </c>
      <c r="D39" s="1">
        <v>2022</v>
      </c>
      <c r="E39" s="1" t="s">
        <v>570</v>
      </c>
      <c r="F39">
        <v>4660</v>
      </c>
      <c r="G39">
        <v>1865</v>
      </c>
      <c r="H39">
        <v>1640</v>
      </c>
      <c r="I39">
        <v>555</v>
      </c>
      <c r="J39">
        <v>1810</v>
      </c>
      <c r="K39">
        <v>2285</v>
      </c>
      <c r="L39">
        <v>58300</v>
      </c>
      <c r="M39">
        <v>98</v>
      </c>
      <c r="N39">
        <v>270</v>
      </c>
      <c r="O39">
        <v>5.7</v>
      </c>
      <c r="P39">
        <v>964</v>
      </c>
    </row>
    <row r="40" spans="1:16" x14ac:dyDescent="0.35">
      <c r="A40" t="s">
        <v>363</v>
      </c>
      <c r="B40" t="s">
        <v>409</v>
      </c>
      <c r="C40" s="1" t="s">
        <v>367</v>
      </c>
      <c r="D40" s="1">
        <v>2025</v>
      </c>
      <c r="E40" s="1" t="s">
        <v>570</v>
      </c>
      <c r="F40">
        <v>4670</v>
      </c>
      <c r="G40">
        <v>1830</v>
      </c>
      <c r="H40">
        <v>1730</v>
      </c>
      <c r="I40">
        <v>508</v>
      </c>
      <c r="J40">
        <v>1656</v>
      </c>
      <c r="K40">
        <f>J40+5*75+100</f>
        <v>2131</v>
      </c>
      <c r="L40">
        <v>41050</v>
      </c>
      <c r="M40">
        <v>110</v>
      </c>
      <c r="N40">
        <v>194</v>
      </c>
      <c r="O40">
        <v>8.1</v>
      </c>
      <c r="P40">
        <v>590</v>
      </c>
    </row>
    <row r="41" spans="1:16" x14ac:dyDescent="0.35">
      <c r="A41" t="s">
        <v>62</v>
      </c>
      <c r="B41" t="s">
        <v>410</v>
      </c>
      <c r="C41" s="1" t="s">
        <v>367</v>
      </c>
      <c r="D41" s="1">
        <v>2023</v>
      </c>
      <c r="E41" s="1" t="s">
        <v>570</v>
      </c>
      <c r="F41">
        <v>4680</v>
      </c>
      <c r="G41">
        <v>1840</v>
      </c>
      <c r="H41">
        <v>1725</v>
      </c>
      <c r="I41">
        <v>575</v>
      </c>
      <c r="J41">
        <v>1725</v>
      </c>
      <c r="K41">
        <v>2245</v>
      </c>
      <c r="L41">
        <v>32900</v>
      </c>
      <c r="M41">
        <v>157</v>
      </c>
      <c r="N41">
        <v>330</v>
      </c>
      <c r="O41">
        <v>5.7</v>
      </c>
      <c r="P41">
        <v>965</v>
      </c>
    </row>
    <row r="42" spans="1:16" x14ac:dyDescent="0.35">
      <c r="A42" t="s">
        <v>68</v>
      </c>
      <c r="B42" t="s">
        <v>418</v>
      </c>
      <c r="C42" s="1" t="s">
        <v>416</v>
      </c>
      <c r="D42" s="1">
        <v>2023</v>
      </c>
      <c r="E42" s="1" t="s">
        <v>570</v>
      </c>
      <c r="F42">
        <v>4706</v>
      </c>
      <c r="G42">
        <v>1866</v>
      </c>
      <c r="H42">
        <v>1674</v>
      </c>
      <c r="I42">
        <v>596</v>
      </c>
      <c r="J42">
        <v>1750</v>
      </c>
      <c r="K42">
        <v>2260</v>
      </c>
      <c r="L42">
        <v>48145</v>
      </c>
      <c r="M42">
        <v>150</v>
      </c>
      <c r="N42">
        <v>335</v>
      </c>
      <c r="O42">
        <v>5.9</v>
      </c>
      <c r="P42">
        <v>966</v>
      </c>
    </row>
    <row r="43" spans="1:16" x14ac:dyDescent="0.35">
      <c r="A43" t="s">
        <v>106</v>
      </c>
      <c r="B43" t="s">
        <v>421</v>
      </c>
      <c r="C43" s="1" t="s">
        <v>416</v>
      </c>
      <c r="D43" s="1">
        <v>2024</v>
      </c>
      <c r="E43" s="1" t="s">
        <v>570</v>
      </c>
      <c r="F43">
        <v>4710</v>
      </c>
      <c r="G43">
        <v>1866</v>
      </c>
      <c r="H43">
        <v>1613</v>
      </c>
      <c r="I43">
        <v>530</v>
      </c>
      <c r="J43">
        <v>1653</v>
      </c>
      <c r="K43">
        <f>J43+526</f>
        <v>2179</v>
      </c>
      <c r="L43">
        <v>41807</v>
      </c>
      <c r="M43">
        <v>147</v>
      </c>
      <c r="N43">
        <v>205</v>
      </c>
      <c r="O43">
        <v>4.5</v>
      </c>
      <c r="P43">
        <v>1200</v>
      </c>
    </row>
    <row r="44" spans="1:16" x14ac:dyDescent="0.35">
      <c r="A44" t="s">
        <v>106</v>
      </c>
      <c r="B44" t="s">
        <v>424</v>
      </c>
      <c r="C44" s="1" t="s">
        <v>416</v>
      </c>
      <c r="D44" s="1">
        <v>2023</v>
      </c>
      <c r="E44" s="1" t="s">
        <v>570</v>
      </c>
      <c r="F44">
        <v>4722</v>
      </c>
      <c r="G44">
        <v>1843</v>
      </c>
      <c r="H44">
        <v>1645</v>
      </c>
      <c r="I44">
        <v>477</v>
      </c>
      <c r="J44">
        <v>1584</v>
      </c>
      <c r="K44">
        <v>2055</v>
      </c>
      <c r="L44">
        <v>39482</v>
      </c>
      <c r="M44">
        <v>147</v>
      </c>
      <c r="N44">
        <v>205</v>
      </c>
      <c r="O44">
        <v>4.5999999999999996</v>
      </c>
      <c r="P44">
        <v>1200</v>
      </c>
    </row>
    <row r="45" spans="1:16" x14ac:dyDescent="0.35">
      <c r="A45" t="s">
        <v>29</v>
      </c>
      <c r="B45" t="s">
        <v>450</v>
      </c>
      <c r="C45" s="1" t="s">
        <v>416</v>
      </c>
      <c r="D45" s="1">
        <v>2024</v>
      </c>
      <c r="E45" s="1" t="s">
        <v>570</v>
      </c>
      <c r="F45">
        <v>4830</v>
      </c>
      <c r="G45">
        <v>1900</v>
      </c>
      <c r="H45">
        <v>1770</v>
      </c>
      <c r="I45">
        <v>711</v>
      </c>
      <c r="J45">
        <v>1997</v>
      </c>
      <c r="K45">
        <v>2640</v>
      </c>
      <c r="L45">
        <v>59020</v>
      </c>
      <c r="M45">
        <v>132</v>
      </c>
      <c r="N45">
        <v>367</v>
      </c>
      <c r="O45">
        <v>5.6</v>
      </c>
      <c r="P45">
        <v>1200</v>
      </c>
    </row>
    <row r="46" spans="1:16" x14ac:dyDescent="0.35">
      <c r="A46" t="s">
        <v>129</v>
      </c>
      <c r="B46" t="s">
        <v>455</v>
      </c>
      <c r="C46" s="1" t="s">
        <v>416</v>
      </c>
      <c r="D46" s="1">
        <v>2023</v>
      </c>
      <c r="E46" s="1" t="s">
        <v>570</v>
      </c>
      <c r="F46">
        <v>4890</v>
      </c>
      <c r="G46">
        <v>1920</v>
      </c>
      <c r="H46">
        <v>1695</v>
      </c>
      <c r="I46">
        <v>461</v>
      </c>
      <c r="J46">
        <v>2190</v>
      </c>
      <c r="K46">
        <v>2665</v>
      </c>
      <c r="L46">
        <v>112650</v>
      </c>
      <c r="M46">
        <v>200</v>
      </c>
      <c r="N46">
        <v>350</v>
      </c>
      <c r="O46">
        <v>8.1</v>
      </c>
      <c r="P46">
        <v>802</v>
      </c>
    </row>
    <row r="47" spans="1:16" x14ac:dyDescent="0.35">
      <c r="A47" t="s">
        <v>45</v>
      </c>
      <c r="B47" t="s">
        <v>463</v>
      </c>
      <c r="C47" s="1" t="s">
        <v>416</v>
      </c>
      <c r="D47" s="1">
        <v>2021</v>
      </c>
      <c r="E47" s="1" t="s">
        <v>570</v>
      </c>
      <c r="F47">
        <v>4950</v>
      </c>
      <c r="G47">
        <v>1930</v>
      </c>
      <c r="H47">
        <v>1730</v>
      </c>
      <c r="I47">
        <v>658</v>
      </c>
      <c r="J47">
        <v>2050</v>
      </c>
      <c r="K47">
        <v>2720</v>
      </c>
      <c r="L47">
        <v>60500</v>
      </c>
      <c r="M47">
        <v>134</v>
      </c>
      <c r="N47">
        <v>270</v>
      </c>
      <c r="O47">
        <v>7</v>
      </c>
      <c r="P47">
        <v>928</v>
      </c>
    </row>
    <row r="48" spans="1:16" x14ac:dyDescent="0.35">
      <c r="A48" t="s">
        <v>24</v>
      </c>
      <c r="B48" t="s">
        <v>347</v>
      </c>
      <c r="C48" s="1" t="s">
        <v>367</v>
      </c>
      <c r="D48" s="1">
        <v>2025</v>
      </c>
      <c r="E48" s="1" t="s">
        <v>570</v>
      </c>
      <c r="F48">
        <v>4420</v>
      </c>
      <c r="G48">
        <v>1825</v>
      </c>
      <c r="H48" s="1">
        <v>1585</v>
      </c>
      <c r="I48">
        <v>451</v>
      </c>
      <c r="J48">
        <v>1415</v>
      </c>
      <c r="K48">
        <v>1940</v>
      </c>
      <c r="L48">
        <v>26460</v>
      </c>
      <c r="M48">
        <v>96.2</v>
      </c>
      <c r="N48">
        <v>265</v>
      </c>
      <c r="O48">
        <v>4.4000000000000004</v>
      </c>
      <c r="P48">
        <v>955</v>
      </c>
    </row>
    <row r="49" spans="1:16" x14ac:dyDescent="0.35">
      <c r="A49" t="s">
        <v>24</v>
      </c>
      <c r="B49" t="s">
        <v>448</v>
      </c>
      <c r="C49" s="1" t="s">
        <v>416</v>
      </c>
      <c r="D49" s="1">
        <v>2025</v>
      </c>
      <c r="E49" s="1" t="s">
        <v>570</v>
      </c>
      <c r="F49">
        <v>4815</v>
      </c>
      <c r="G49">
        <v>1900</v>
      </c>
      <c r="H49" s="1">
        <v>1700</v>
      </c>
      <c r="I49">
        <v>608</v>
      </c>
      <c r="J49">
        <f>1821-75</f>
        <v>1746</v>
      </c>
      <c r="K49">
        <v>2580</v>
      </c>
      <c r="L49">
        <v>49360</v>
      </c>
      <c r="M49">
        <v>160.30000000000001</v>
      </c>
      <c r="N49">
        <v>367</v>
      </c>
      <c r="O49">
        <v>6.6</v>
      </c>
      <c r="P49">
        <v>1015</v>
      </c>
    </row>
  </sheetData>
  <autoFilter ref="A1:A52" xr:uid="{F04652C2-EF65-4A74-A970-E8B0F04C0B39}"/>
  <mergeCells count="5">
    <mergeCell ref="J1:K1"/>
    <mergeCell ref="O1:O2"/>
    <mergeCell ref="P1:P2"/>
    <mergeCell ref="M1:M2"/>
    <mergeCell ref="N1:N2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6A8BF-0DB4-4B72-9CCB-48CCABEDFD81}">
  <dimension ref="A1:Y98"/>
  <sheetViews>
    <sheetView zoomScale="90" zoomScaleNormal="90" workbookViewId="0">
      <pane ySplit="2" topLeftCell="A3" activePane="bottomLeft" state="frozen"/>
      <selection pane="bottomLeft" activeCell="C4" sqref="C4"/>
    </sheetView>
  </sheetViews>
  <sheetFormatPr baseColWidth="10" defaultRowHeight="14.5" x14ac:dyDescent="0.35"/>
  <cols>
    <col min="1" max="1" width="13.453125" bestFit="1" customWidth="1"/>
    <col min="2" max="2" width="18.54296875" bestFit="1" customWidth="1"/>
    <col min="3" max="3" width="15.36328125" customWidth="1"/>
    <col min="4" max="4" width="10.90625" style="1" customWidth="1"/>
    <col min="5" max="5" width="12" style="1" customWidth="1"/>
    <col min="6" max="7" width="8.36328125" customWidth="1"/>
    <col min="8" max="8" width="6.26953125" customWidth="1"/>
    <col min="9" max="9" width="13.36328125" customWidth="1"/>
    <col min="10" max="10" width="16.1796875" bestFit="1" customWidth="1"/>
    <col min="13" max="14" width="0" style="21" hidden="1" customWidth="1"/>
    <col min="15" max="15" width="15.7265625" style="21" bestFit="1" customWidth="1"/>
    <col min="16" max="17" width="13.81640625" style="21" hidden="1" customWidth="1"/>
    <col min="18" max="18" width="11.7265625" style="21" bestFit="1" customWidth="1"/>
    <col min="19" max="19" width="21.81640625" style="29" hidden="1" customWidth="1"/>
    <col min="20" max="20" width="17.6328125" style="29" customWidth="1"/>
    <col min="21" max="21" width="13.81640625" style="29" customWidth="1"/>
    <col min="23" max="23" width="12.6328125" style="21" bestFit="1" customWidth="1"/>
    <col min="24" max="24" width="11.36328125" style="21" bestFit="1" customWidth="1"/>
    <col min="25" max="25" width="11.6328125" bestFit="1" customWidth="1"/>
  </cols>
  <sheetData>
    <row r="1" spans="1:25" ht="16" customHeight="1" x14ac:dyDescent="0.4">
      <c r="A1" s="69" t="s">
        <v>0</v>
      </c>
      <c r="B1" s="71" t="s">
        <v>1</v>
      </c>
      <c r="C1" s="9"/>
      <c r="D1" s="9"/>
      <c r="E1" s="9"/>
      <c r="F1" s="10"/>
      <c r="G1" s="10"/>
      <c r="H1" s="10"/>
      <c r="I1" s="10"/>
      <c r="J1" s="75" t="s">
        <v>85</v>
      </c>
      <c r="K1" s="76"/>
      <c r="L1" s="73" t="s">
        <v>881</v>
      </c>
      <c r="M1" s="83" t="s">
        <v>899</v>
      </c>
      <c r="N1" s="81"/>
      <c r="O1" s="84"/>
      <c r="P1" s="83" t="s">
        <v>901</v>
      </c>
      <c r="Q1" s="81"/>
      <c r="R1" s="84"/>
      <c r="S1" s="77" t="s">
        <v>892</v>
      </c>
      <c r="T1" s="78"/>
      <c r="U1" s="79"/>
      <c r="V1" s="80" t="s">
        <v>894</v>
      </c>
      <c r="W1" s="81"/>
      <c r="X1" s="82"/>
      <c r="Y1" s="73" t="s">
        <v>898</v>
      </c>
    </row>
    <row r="2" spans="1:25" s="1" customFormat="1" ht="16.5" thickBot="1" x14ac:dyDescent="0.45">
      <c r="A2" s="70"/>
      <c r="B2" s="72"/>
      <c r="C2" s="15" t="s">
        <v>2</v>
      </c>
      <c r="D2" s="15" t="s">
        <v>16</v>
      </c>
      <c r="E2" s="15" t="s">
        <v>17</v>
      </c>
      <c r="F2" s="15" t="s">
        <v>4</v>
      </c>
      <c r="G2" s="15" t="s">
        <v>5</v>
      </c>
      <c r="H2" s="15" t="s">
        <v>6</v>
      </c>
      <c r="I2" s="15" t="s">
        <v>3</v>
      </c>
      <c r="J2" s="16" t="s">
        <v>891</v>
      </c>
      <c r="K2" s="17" t="s">
        <v>888</v>
      </c>
      <c r="L2" s="74"/>
      <c r="M2" s="24" t="s">
        <v>900</v>
      </c>
      <c r="N2" s="22" t="s">
        <v>895</v>
      </c>
      <c r="O2" s="19" t="s">
        <v>903</v>
      </c>
      <c r="P2" s="24" t="s">
        <v>900</v>
      </c>
      <c r="Q2" s="22" t="s">
        <v>895</v>
      </c>
      <c r="R2" s="19" t="s">
        <v>902</v>
      </c>
      <c r="S2" s="30" t="s">
        <v>906</v>
      </c>
      <c r="T2" s="28" t="s">
        <v>905</v>
      </c>
      <c r="U2" s="31" t="s">
        <v>893</v>
      </c>
      <c r="V2" s="16" t="s">
        <v>895</v>
      </c>
      <c r="W2" s="22" t="s">
        <v>896</v>
      </c>
      <c r="X2" s="19" t="s">
        <v>897</v>
      </c>
      <c r="Y2" s="74"/>
    </row>
    <row r="3" spans="1:25" x14ac:dyDescent="0.35">
      <c r="A3" s="11" t="s">
        <v>119</v>
      </c>
      <c r="B3" s="12" t="s">
        <v>18</v>
      </c>
      <c r="C3" s="1" t="s">
        <v>9</v>
      </c>
      <c r="D3" s="1">
        <v>2020</v>
      </c>
      <c r="E3" s="1" t="s">
        <v>784</v>
      </c>
      <c r="F3">
        <v>4284</v>
      </c>
      <c r="G3">
        <v>1789</v>
      </c>
      <c r="H3">
        <v>1456</v>
      </c>
      <c r="I3">
        <v>270</v>
      </c>
      <c r="J3" s="11">
        <f>1668-75</f>
        <v>1593</v>
      </c>
      <c r="K3" s="12">
        <v>2100</v>
      </c>
      <c r="L3" s="13">
        <v>44825</v>
      </c>
      <c r="M3" s="11">
        <v>110</v>
      </c>
      <c r="N3" s="18">
        <v>85</v>
      </c>
      <c r="O3" s="12">
        <v>150</v>
      </c>
      <c r="P3" s="11">
        <v>250</v>
      </c>
      <c r="Q3" s="18">
        <v>350</v>
      </c>
      <c r="R3" s="12">
        <v>350</v>
      </c>
      <c r="S3" s="11">
        <v>0.4</v>
      </c>
      <c r="T3">
        <v>4.8</v>
      </c>
      <c r="U3" s="12">
        <v>15.9</v>
      </c>
      <c r="V3" s="11">
        <v>131</v>
      </c>
      <c r="W3" s="23">
        <f>IF(NOT(ISBLANK(T3)),Y3/T3*100,"")</f>
        <v>833.33333333333337</v>
      </c>
      <c r="X3" s="20">
        <f>IF(NOT(ISBLANK(T3)),V3+W3,"")</f>
        <v>964.33333333333337</v>
      </c>
      <c r="Y3" s="13">
        <v>40</v>
      </c>
    </row>
    <row r="4" spans="1:25" x14ac:dyDescent="0.35">
      <c r="A4" s="11" t="s">
        <v>40</v>
      </c>
      <c r="B4" s="14" t="s">
        <v>774</v>
      </c>
      <c r="C4" s="1" t="s">
        <v>9</v>
      </c>
      <c r="D4" s="1">
        <v>2022</v>
      </c>
      <c r="E4" s="1" t="s">
        <v>784</v>
      </c>
      <c r="F4">
        <v>4367</v>
      </c>
      <c r="G4">
        <v>1852</v>
      </c>
      <c r="H4">
        <v>1441</v>
      </c>
      <c r="I4">
        <v>361</v>
      </c>
      <c r="J4" s="11">
        <v>1633</v>
      </c>
      <c r="K4" s="12">
        <v>2120</v>
      </c>
      <c r="L4" s="13">
        <v>35484</v>
      </c>
      <c r="M4" s="11">
        <v>133</v>
      </c>
      <c r="N4" s="18">
        <v>81.2</v>
      </c>
      <c r="O4" s="12">
        <v>165</v>
      </c>
      <c r="P4" s="11">
        <v>250</v>
      </c>
      <c r="Q4" s="18">
        <v>320</v>
      </c>
      <c r="R4" s="12">
        <v>360</v>
      </c>
      <c r="S4" s="11">
        <v>1.2</v>
      </c>
      <c r="T4">
        <v>5.7</v>
      </c>
      <c r="U4" s="12">
        <v>15</v>
      </c>
      <c r="V4" s="11">
        <v>64</v>
      </c>
      <c r="W4" s="23">
        <f t="shared" ref="W4:W62" si="0">IF(NOT(ISBLANK(T4)),Y4/T4*100,"")</f>
        <v>701.75438596491222</v>
      </c>
      <c r="X4" s="20">
        <f t="shared" ref="X4:X62" si="1">IF(NOT(ISBLANK(T4)),V4+W4,"")</f>
        <v>765.75438596491222</v>
      </c>
      <c r="Y4" s="13">
        <v>40</v>
      </c>
    </row>
    <row r="5" spans="1:25" x14ac:dyDescent="0.35">
      <c r="A5" s="11" t="s">
        <v>41</v>
      </c>
      <c r="B5" s="12" t="s">
        <v>42</v>
      </c>
      <c r="C5" s="1" t="s">
        <v>9</v>
      </c>
      <c r="D5" s="1">
        <v>2020</v>
      </c>
      <c r="E5" s="1" t="s">
        <v>784</v>
      </c>
      <c r="F5">
        <v>4368</v>
      </c>
      <c r="G5">
        <v>1799</v>
      </c>
      <c r="H5">
        <v>1456</v>
      </c>
      <c r="I5">
        <v>270</v>
      </c>
      <c r="J5" s="11">
        <v>1595</v>
      </c>
      <c r="K5" s="12">
        <v>2130</v>
      </c>
      <c r="L5" s="13">
        <v>34640</v>
      </c>
      <c r="M5" s="11">
        <v>110</v>
      </c>
      <c r="N5" s="18">
        <v>85</v>
      </c>
      <c r="O5" s="12">
        <v>150</v>
      </c>
      <c r="P5" s="11">
        <v>250</v>
      </c>
      <c r="Q5" s="18">
        <v>330</v>
      </c>
      <c r="R5" s="12">
        <v>350</v>
      </c>
      <c r="S5" s="11">
        <v>0.4</v>
      </c>
      <c r="T5">
        <v>5.6</v>
      </c>
      <c r="U5" s="12">
        <v>15.6</v>
      </c>
      <c r="V5" s="11">
        <v>131</v>
      </c>
      <c r="W5" s="23">
        <f t="shared" si="0"/>
        <v>714.28571428571433</v>
      </c>
      <c r="X5" s="20">
        <f t="shared" si="1"/>
        <v>845.28571428571433</v>
      </c>
      <c r="Y5" s="13">
        <v>40</v>
      </c>
    </row>
    <row r="6" spans="1:25" x14ac:dyDescent="0.35">
      <c r="A6" s="11" t="s">
        <v>47</v>
      </c>
      <c r="B6" s="12" t="s">
        <v>48</v>
      </c>
      <c r="C6" s="1" t="s">
        <v>9</v>
      </c>
      <c r="D6" s="1">
        <v>2022</v>
      </c>
      <c r="E6" s="1" t="s">
        <v>784</v>
      </c>
      <c r="F6">
        <v>4374</v>
      </c>
      <c r="G6">
        <v>1860</v>
      </c>
      <c r="H6">
        <v>1470</v>
      </c>
      <c r="I6">
        <v>352</v>
      </c>
      <c r="J6" s="11">
        <f>1678-75</f>
        <v>1603</v>
      </c>
      <c r="K6" s="12">
        <v>2150</v>
      </c>
      <c r="L6" s="13">
        <v>41500</v>
      </c>
      <c r="M6" s="25">
        <f>150/1.36</f>
        <v>110.29411764705881</v>
      </c>
      <c r="N6" s="23">
        <v>81</v>
      </c>
      <c r="O6" s="20">
        <f>180/1.36</f>
        <v>132.35294117647058</v>
      </c>
      <c r="P6" s="25">
        <v>250</v>
      </c>
      <c r="Q6" s="23">
        <v>320</v>
      </c>
      <c r="R6" s="20">
        <v>360</v>
      </c>
      <c r="S6" s="11">
        <v>1.2</v>
      </c>
      <c r="T6">
        <v>5.7</v>
      </c>
      <c r="U6" s="12">
        <v>16.399999999999999</v>
      </c>
      <c r="V6" s="11">
        <v>57</v>
      </c>
      <c r="W6" s="23">
        <f t="shared" si="0"/>
        <v>736.84210526315792</v>
      </c>
      <c r="X6" s="20">
        <f t="shared" si="1"/>
        <v>793.84210526315792</v>
      </c>
      <c r="Y6" s="13">
        <v>42</v>
      </c>
    </row>
    <row r="7" spans="1:25" x14ac:dyDescent="0.35">
      <c r="A7" s="11" t="s">
        <v>27</v>
      </c>
      <c r="B7" s="12" t="s">
        <v>42</v>
      </c>
      <c r="C7" s="1" t="s">
        <v>9</v>
      </c>
      <c r="D7" s="1">
        <v>2024</v>
      </c>
      <c r="E7" s="1" t="s">
        <v>784</v>
      </c>
      <c r="F7">
        <v>4398</v>
      </c>
      <c r="G7">
        <v>1799</v>
      </c>
      <c r="H7">
        <v>1444</v>
      </c>
      <c r="I7">
        <v>270</v>
      </c>
      <c r="J7" s="11">
        <v>1673</v>
      </c>
      <c r="K7" s="12">
        <v>2050</v>
      </c>
      <c r="L7" s="13">
        <v>44080</v>
      </c>
      <c r="M7" s="11">
        <v>110</v>
      </c>
      <c r="N7" s="18">
        <v>85</v>
      </c>
      <c r="O7" s="12">
        <v>150</v>
      </c>
      <c r="P7" s="11">
        <v>250</v>
      </c>
      <c r="Q7" s="18">
        <v>330</v>
      </c>
      <c r="R7" s="12">
        <v>350</v>
      </c>
      <c r="S7" s="11">
        <v>0.4</v>
      </c>
      <c r="T7">
        <v>5.0999999999999996</v>
      </c>
      <c r="U7" s="12">
        <v>15.8</v>
      </c>
      <c r="V7" s="11">
        <v>131</v>
      </c>
      <c r="W7" s="23">
        <f t="shared" si="0"/>
        <v>784.31372549019613</v>
      </c>
      <c r="X7" s="20">
        <f t="shared" si="1"/>
        <v>915.31372549019613</v>
      </c>
      <c r="Y7" s="13">
        <v>40</v>
      </c>
    </row>
    <row r="8" spans="1:25" x14ac:dyDescent="0.35">
      <c r="A8" s="11" t="s">
        <v>53</v>
      </c>
      <c r="B8" s="12" t="s">
        <v>54</v>
      </c>
      <c r="C8" s="1" t="s">
        <v>9</v>
      </c>
      <c r="D8" s="1">
        <v>2021</v>
      </c>
      <c r="E8" s="1" t="s">
        <v>784</v>
      </c>
      <c r="F8">
        <v>4400</v>
      </c>
      <c r="G8">
        <v>1830</v>
      </c>
      <c r="H8">
        <v>1490</v>
      </c>
      <c r="I8">
        <v>390</v>
      </c>
      <c r="J8" s="11">
        <v>1653</v>
      </c>
      <c r="K8" s="12">
        <v>2200</v>
      </c>
      <c r="L8" s="13">
        <v>44013</v>
      </c>
      <c r="M8" s="11">
        <v>133</v>
      </c>
      <c r="N8" s="18">
        <v>81.2</v>
      </c>
      <c r="O8" s="12">
        <v>165</v>
      </c>
      <c r="P8" s="11">
        <v>250</v>
      </c>
      <c r="Q8" s="18">
        <v>320</v>
      </c>
      <c r="R8" s="12">
        <v>360</v>
      </c>
      <c r="S8" s="11">
        <v>1.4</v>
      </c>
      <c r="T8">
        <v>4.5</v>
      </c>
      <c r="U8" s="12">
        <v>16.5</v>
      </c>
      <c r="V8" s="11">
        <v>62</v>
      </c>
      <c r="W8" s="23">
        <f t="shared" si="0"/>
        <v>933.33333333333337</v>
      </c>
      <c r="X8" s="20">
        <f t="shared" si="1"/>
        <v>995.33333333333337</v>
      </c>
      <c r="Y8" s="13">
        <v>42</v>
      </c>
    </row>
    <row r="9" spans="1:25" x14ac:dyDescent="0.35">
      <c r="A9" s="11" t="s">
        <v>81</v>
      </c>
      <c r="B9" s="12" t="s">
        <v>56</v>
      </c>
      <c r="C9" s="1" t="s">
        <v>57</v>
      </c>
      <c r="D9" s="1">
        <v>2023</v>
      </c>
      <c r="E9" s="1" t="s">
        <v>784</v>
      </c>
      <c r="F9">
        <v>4419</v>
      </c>
      <c r="G9">
        <v>1796</v>
      </c>
      <c r="H9">
        <v>1440</v>
      </c>
      <c r="I9">
        <v>310</v>
      </c>
      <c r="J9" s="11">
        <f>1630</f>
        <v>1630</v>
      </c>
      <c r="K9" s="12">
        <v>2180</v>
      </c>
      <c r="L9" s="13">
        <v>50949</v>
      </c>
      <c r="M9" s="11">
        <v>120</v>
      </c>
      <c r="N9" s="18">
        <v>80</v>
      </c>
      <c r="O9" s="12">
        <v>160</v>
      </c>
      <c r="P9" s="11">
        <v>270</v>
      </c>
      <c r="Q9" s="18">
        <v>300</v>
      </c>
      <c r="R9" s="12">
        <v>450</v>
      </c>
      <c r="S9" s="11">
        <v>1</v>
      </c>
      <c r="T9">
        <v>5.9</v>
      </c>
      <c r="U9" s="12">
        <v>18.600000000000001</v>
      </c>
      <c r="V9" s="11">
        <v>81</v>
      </c>
      <c r="W9" s="23">
        <f t="shared" si="0"/>
        <v>593.22033898305074</v>
      </c>
      <c r="X9" s="20">
        <f t="shared" si="1"/>
        <v>674.22033898305074</v>
      </c>
      <c r="Y9" s="13">
        <v>35</v>
      </c>
    </row>
    <row r="10" spans="1:25" x14ac:dyDescent="0.35">
      <c r="A10" s="11" t="s">
        <v>81</v>
      </c>
      <c r="B10" s="12" t="s">
        <v>67</v>
      </c>
      <c r="C10" s="1" t="s">
        <v>57</v>
      </c>
      <c r="D10" s="1">
        <v>2023</v>
      </c>
      <c r="E10" s="1" t="s">
        <v>784</v>
      </c>
      <c r="F10">
        <v>4549</v>
      </c>
      <c r="G10">
        <v>1796</v>
      </c>
      <c r="H10">
        <v>1446</v>
      </c>
      <c r="I10">
        <v>345</v>
      </c>
      <c r="J10" s="11">
        <v>1640</v>
      </c>
      <c r="K10" s="12">
        <v>2190</v>
      </c>
      <c r="L10" s="13">
        <v>51583</v>
      </c>
      <c r="M10" s="11">
        <v>120</v>
      </c>
      <c r="N10" s="18">
        <v>80</v>
      </c>
      <c r="O10" s="12">
        <v>160</v>
      </c>
      <c r="P10" s="11">
        <v>270</v>
      </c>
      <c r="Q10" s="18">
        <v>300</v>
      </c>
      <c r="R10" s="12">
        <v>450</v>
      </c>
      <c r="S10" s="11">
        <v>0.9</v>
      </c>
      <c r="T10">
        <v>5.8</v>
      </c>
      <c r="U10" s="12">
        <v>18.3</v>
      </c>
      <c r="V10" s="11">
        <v>81</v>
      </c>
      <c r="W10" s="23">
        <f t="shared" si="0"/>
        <v>603.44827586206895</v>
      </c>
      <c r="X10" s="20">
        <f t="shared" si="1"/>
        <v>684.44827586206895</v>
      </c>
      <c r="Y10" s="13">
        <v>35</v>
      </c>
    </row>
    <row r="11" spans="1:25" x14ac:dyDescent="0.35">
      <c r="A11" s="11" t="s">
        <v>45</v>
      </c>
      <c r="B11" s="12" t="s">
        <v>70</v>
      </c>
      <c r="C11" s="1" t="s">
        <v>57</v>
      </c>
      <c r="D11" s="1">
        <v>2023</v>
      </c>
      <c r="E11" s="1" t="s">
        <v>784</v>
      </c>
      <c r="F11">
        <v>4599</v>
      </c>
      <c r="G11">
        <v>1782</v>
      </c>
      <c r="H11">
        <v>1430</v>
      </c>
      <c r="I11">
        <v>284</v>
      </c>
      <c r="J11" s="11">
        <v>1545</v>
      </c>
      <c r="K11" s="12">
        <v>1995</v>
      </c>
      <c r="L11" s="13">
        <v>47310</v>
      </c>
      <c r="M11" s="25">
        <v>112</v>
      </c>
      <c r="N11" s="23">
        <f>120</f>
        <v>120</v>
      </c>
      <c r="O11" s="20">
        <v>164</v>
      </c>
      <c r="P11" s="25">
        <v>190</v>
      </c>
      <c r="Q11" s="23">
        <f>208</f>
        <v>208</v>
      </c>
      <c r="R11" s="20">
        <v>206</v>
      </c>
      <c r="S11" s="11">
        <v>0.5</v>
      </c>
      <c r="T11" s="29">
        <v>3.4</v>
      </c>
      <c r="U11" s="12">
        <v>16</v>
      </c>
      <c r="V11" s="11">
        <v>70</v>
      </c>
      <c r="W11" s="23">
        <f t="shared" si="0"/>
        <v>1176.4705882352941</v>
      </c>
      <c r="X11" s="20">
        <f t="shared" si="1"/>
        <v>1246.4705882352941</v>
      </c>
      <c r="Y11" s="13">
        <v>40</v>
      </c>
    </row>
    <row r="12" spans="1:25" x14ac:dyDescent="0.35">
      <c r="A12" s="11" t="s">
        <v>40</v>
      </c>
      <c r="B12" s="14" t="s">
        <v>879</v>
      </c>
      <c r="C12" s="1" t="s">
        <v>57</v>
      </c>
      <c r="D12" s="1">
        <v>2023</v>
      </c>
      <c r="E12" s="1" t="s">
        <v>784</v>
      </c>
      <c r="F12">
        <v>4687</v>
      </c>
      <c r="G12">
        <v>1848</v>
      </c>
      <c r="H12">
        <v>1478</v>
      </c>
      <c r="I12">
        <v>471</v>
      </c>
      <c r="J12" s="11">
        <v>1707</v>
      </c>
      <c r="K12" s="12">
        <v>2210</v>
      </c>
      <c r="L12" s="13">
        <v>39390</v>
      </c>
      <c r="M12" s="11">
        <v>132</v>
      </c>
      <c r="N12" s="18">
        <v>92</v>
      </c>
      <c r="O12" s="12">
        <v>165</v>
      </c>
      <c r="P12" s="11">
        <v>250</v>
      </c>
      <c r="Q12" s="18">
        <v>118</v>
      </c>
      <c r="R12" s="12">
        <v>360</v>
      </c>
      <c r="S12" s="11">
        <v>1.2</v>
      </c>
      <c r="T12">
        <v>5.5</v>
      </c>
      <c r="U12" s="12">
        <v>14.4</v>
      </c>
      <c r="V12" s="11">
        <v>64</v>
      </c>
      <c r="W12" s="23">
        <f t="shared" si="0"/>
        <v>727.27272727272725</v>
      </c>
      <c r="X12" s="20">
        <f t="shared" si="1"/>
        <v>791.27272727272725</v>
      </c>
      <c r="Y12" s="13">
        <v>40</v>
      </c>
    </row>
    <row r="13" spans="1:25" x14ac:dyDescent="0.35">
      <c r="A13" s="11" t="s">
        <v>81</v>
      </c>
      <c r="B13" s="12" t="s">
        <v>82</v>
      </c>
      <c r="C13" s="1" t="s">
        <v>57</v>
      </c>
      <c r="D13" s="1">
        <v>2023</v>
      </c>
      <c r="E13" s="1" t="s">
        <v>784</v>
      </c>
      <c r="F13">
        <v>4688</v>
      </c>
      <c r="G13">
        <v>1830</v>
      </c>
      <c r="H13">
        <v>1439</v>
      </c>
      <c r="I13">
        <v>390</v>
      </c>
      <c r="J13" s="11">
        <v>1675</v>
      </c>
      <c r="K13" s="12">
        <v>2225</v>
      </c>
      <c r="L13" s="13">
        <v>52245</v>
      </c>
      <c r="M13" s="11">
        <v>120</v>
      </c>
      <c r="N13" s="18">
        <v>80</v>
      </c>
      <c r="O13" s="12">
        <v>160</v>
      </c>
      <c r="P13" s="11">
        <v>270</v>
      </c>
      <c r="Q13" s="18">
        <v>300</v>
      </c>
      <c r="R13" s="12">
        <v>450</v>
      </c>
      <c r="S13" s="11">
        <v>1</v>
      </c>
      <c r="T13">
        <v>5.8</v>
      </c>
      <c r="U13" s="12">
        <v>18.5</v>
      </c>
      <c r="V13" s="11">
        <v>81</v>
      </c>
      <c r="W13" s="23">
        <f t="shared" si="0"/>
        <v>603.44827586206895</v>
      </c>
      <c r="X13" s="20">
        <f t="shared" si="1"/>
        <v>684.44827586206895</v>
      </c>
      <c r="Y13" s="13">
        <v>35</v>
      </c>
    </row>
    <row r="14" spans="1:25" x14ac:dyDescent="0.35">
      <c r="A14" s="11" t="s">
        <v>37</v>
      </c>
      <c r="B14" s="12" t="s">
        <v>88</v>
      </c>
      <c r="C14" s="1" t="s">
        <v>89</v>
      </c>
      <c r="D14" s="1">
        <v>2023</v>
      </c>
      <c r="E14" s="1" t="s">
        <v>784</v>
      </c>
      <c r="F14">
        <v>4713</v>
      </c>
      <c r="G14">
        <v>1827</v>
      </c>
      <c r="H14">
        <v>1440</v>
      </c>
      <c r="I14">
        <v>375</v>
      </c>
      <c r="J14" s="11">
        <v>1910</v>
      </c>
      <c r="K14" s="12">
        <v>2360</v>
      </c>
      <c r="L14" s="13">
        <v>60400</v>
      </c>
      <c r="M14" s="11">
        <v>135</v>
      </c>
      <c r="N14" s="18">
        <v>80</v>
      </c>
      <c r="O14" s="12">
        <v>215</v>
      </c>
      <c r="P14" s="11">
        <v>300</v>
      </c>
      <c r="Q14" s="18">
        <v>265</v>
      </c>
      <c r="R14" s="12">
        <v>420</v>
      </c>
      <c r="S14" s="11">
        <v>1.1000000000000001</v>
      </c>
      <c r="T14">
        <v>7.9</v>
      </c>
      <c r="U14" s="12">
        <v>23.4</v>
      </c>
      <c r="V14" s="11">
        <v>90</v>
      </c>
      <c r="W14" s="23">
        <f t="shared" si="0"/>
        <v>506.3291139240506</v>
      </c>
      <c r="X14" s="20">
        <f t="shared" si="1"/>
        <v>596.3291139240506</v>
      </c>
      <c r="Y14" s="13">
        <v>40</v>
      </c>
    </row>
    <row r="15" spans="1:25" x14ac:dyDescent="0.35">
      <c r="A15" s="11" t="s">
        <v>40</v>
      </c>
      <c r="B15" s="14" t="s">
        <v>880</v>
      </c>
      <c r="C15" s="1" t="s">
        <v>89</v>
      </c>
      <c r="D15" s="1">
        <v>2023</v>
      </c>
      <c r="E15" s="1" t="s">
        <v>784</v>
      </c>
      <c r="F15">
        <v>4750</v>
      </c>
      <c r="G15">
        <v>1859</v>
      </c>
      <c r="H15">
        <v>1403</v>
      </c>
      <c r="I15">
        <v>487</v>
      </c>
      <c r="J15" s="11">
        <v>1736</v>
      </c>
      <c r="K15" s="12">
        <v>2280</v>
      </c>
      <c r="L15" s="13">
        <v>47249</v>
      </c>
      <c r="M15" s="11">
        <v>147</v>
      </c>
      <c r="N15" s="18">
        <v>81</v>
      </c>
      <c r="O15" s="12">
        <v>165</v>
      </c>
      <c r="P15" s="11">
        <v>300</v>
      </c>
      <c r="Q15" s="18">
        <v>320</v>
      </c>
      <c r="R15" s="12">
        <v>360</v>
      </c>
      <c r="S15" s="11">
        <v>1.1000000000000001</v>
      </c>
      <c r="T15">
        <v>5.5</v>
      </c>
      <c r="U15" s="12">
        <v>14.7</v>
      </c>
      <c r="V15" s="11">
        <v>66</v>
      </c>
      <c r="W15" s="23">
        <f t="shared" si="0"/>
        <v>781.81818181818187</v>
      </c>
      <c r="X15" s="20">
        <f t="shared" si="1"/>
        <v>847.81818181818187</v>
      </c>
      <c r="Y15" s="13">
        <v>43</v>
      </c>
    </row>
    <row r="16" spans="1:25" x14ac:dyDescent="0.35">
      <c r="A16" s="11" t="s">
        <v>81</v>
      </c>
      <c r="B16" s="12" t="s">
        <v>93</v>
      </c>
      <c r="C16" s="1" t="s">
        <v>89</v>
      </c>
      <c r="D16" s="1">
        <v>2021</v>
      </c>
      <c r="E16" s="1" t="s">
        <v>784</v>
      </c>
      <c r="F16">
        <v>4751</v>
      </c>
      <c r="G16">
        <v>1820</v>
      </c>
      <c r="H16">
        <v>1438</v>
      </c>
      <c r="I16">
        <v>300</v>
      </c>
      <c r="J16" s="11">
        <f>2140-75</f>
        <v>2065</v>
      </c>
      <c r="K16" s="12">
        <v>2665</v>
      </c>
      <c r="L16" s="13">
        <v>69243</v>
      </c>
      <c r="M16" s="11">
        <v>145</v>
      </c>
      <c r="N16" s="18">
        <v>95</v>
      </c>
      <c r="O16" s="12">
        <v>230</v>
      </c>
      <c r="P16" s="11">
        <v>440</v>
      </c>
      <c r="Q16" s="18">
        <v>440</v>
      </c>
      <c r="R16" s="12">
        <v>700</v>
      </c>
      <c r="S16" s="11">
        <v>1.7</v>
      </c>
      <c r="T16">
        <v>6</v>
      </c>
      <c r="U16" s="12">
        <v>14.3</v>
      </c>
      <c r="V16" s="11">
        <v>103</v>
      </c>
      <c r="W16" s="23">
        <f t="shared" si="0"/>
        <v>833.33333333333337</v>
      </c>
      <c r="X16" s="20">
        <f t="shared" si="1"/>
        <v>936.33333333333337</v>
      </c>
      <c r="Y16" s="13">
        <v>50</v>
      </c>
    </row>
    <row r="17" spans="1:25" x14ac:dyDescent="0.35">
      <c r="A17" s="11" t="s">
        <v>34</v>
      </c>
      <c r="B17" s="12" t="s">
        <v>104</v>
      </c>
      <c r="C17" s="1" t="s">
        <v>89</v>
      </c>
      <c r="D17" s="1">
        <v>2022</v>
      </c>
      <c r="E17" s="1" t="s">
        <v>784</v>
      </c>
      <c r="F17">
        <v>4805</v>
      </c>
      <c r="G17">
        <v>1815</v>
      </c>
      <c r="H17">
        <v>1485</v>
      </c>
      <c r="I17">
        <v>485</v>
      </c>
      <c r="J17" s="11">
        <f>1797-75</f>
        <v>1722</v>
      </c>
      <c r="K17" s="12">
        <v>2185</v>
      </c>
      <c r="L17" s="13">
        <v>44045</v>
      </c>
      <c r="M17" s="11">
        <v>110</v>
      </c>
      <c r="N17" s="18">
        <v>81.2</v>
      </c>
      <c r="O17" s="12">
        <v>225</v>
      </c>
      <c r="P17" s="11"/>
      <c r="Q17" s="18"/>
      <c r="R17" s="12">
        <v>360</v>
      </c>
      <c r="S17" s="11">
        <v>1.4</v>
      </c>
      <c r="T17">
        <v>4.55</v>
      </c>
      <c r="U17" s="12">
        <v>15.8</v>
      </c>
      <c r="V17" s="11">
        <v>56</v>
      </c>
      <c r="W17" s="23">
        <f t="shared" si="0"/>
        <v>879.12087912087918</v>
      </c>
      <c r="X17" s="20">
        <f t="shared" si="1"/>
        <v>935.12087912087918</v>
      </c>
      <c r="Y17" s="13">
        <v>40</v>
      </c>
    </row>
    <row r="18" spans="1:25" x14ac:dyDescent="0.35">
      <c r="A18" s="11" t="s">
        <v>81</v>
      </c>
      <c r="B18" s="12" t="s">
        <v>118</v>
      </c>
      <c r="C18" s="1" t="s">
        <v>89</v>
      </c>
      <c r="D18" s="1">
        <v>2023</v>
      </c>
      <c r="E18" s="1" t="s">
        <v>784</v>
      </c>
      <c r="F18">
        <v>4949</v>
      </c>
      <c r="G18">
        <v>1880</v>
      </c>
      <c r="H18">
        <v>1468</v>
      </c>
      <c r="I18">
        <v>370</v>
      </c>
      <c r="J18" s="11">
        <f>2190-75</f>
        <v>2115</v>
      </c>
      <c r="K18" s="12">
        <v>2775</v>
      </c>
      <c r="L18" s="13">
        <v>69345</v>
      </c>
      <c r="M18" s="11">
        <v>150</v>
      </c>
      <c r="N18" s="18">
        <v>95</v>
      </c>
      <c r="O18" s="12">
        <v>230</v>
      </c>
      <c r="P18" s="11">
        <v>320</v>
      </c>
      <c r="Q18" s="18">
        <v>440</v>
      </c>
      <c r="R18" s="12">
        <v>550</v>
      </c>
      <c r="S18" s="11">
        <v>0.5</v>
      </c>
      <c r="T18">
        <v>7.4</v>
      </c>
      <c r="U18" s="12">
        <v>19.5</v>
      </c>
      <c r="V18" s="11">
        <v>108</v>
      </c>
      <c r="W18" s="23">
        <f t="shared" si="0"/>
        <v>675.67567567567562</v>
      </c>
      <c r="X18" s="20">
        <f t="shared" si="1"/>
        <v>783.67567567567562</v>
      </c>
      <c r="Y18" s="13">
        <v>50</v>
      </c>
    </row>
    <row r="19" spans="1:25" x14ac:dyDescent="0.35">
      <c r="A19" s="11" t="s">
        <v>37</v>
      </c>
      <c r="B19" s="12" t="s">
        <v>133</v>
      </c>
      <c r="C19" s="1" t="s">
        <v>89</v>
      </c>
      <c r="D19" s="1">
        <v>2024</v>
      </c>
      <c r="E19" s="1" t="s">
        <v>784</v>
      </c>
      <c r="F19">
        <v>5060</v>
      </c>
      <c r="G19">
        <v>1900</v>
      </c>
      <c r="H19">
        <v>1515</v>
      </c>
      <c r="I19">
        <v>490</v>
      </c>
      <c r="J19" s="11">
        <v>2080</v>
      </c>
      <c r="K19" s="12">
        <v>2655</v>
      </c>
      <c r="L19" s="13">
        <v>72600</v>
      </c>
      <c r="M19" s="11">
        <v>140</v>
      </c>
      <c r="N19" s="18">
        <v>135</v>
      </c>
      <c r="O19" s="12">
        <v>220</v>
      </c>
      <c r="P19" s="11">
        <v>450</v>
      </c>
      <c r="Q19" s="18">
        <v>250</v>
      </c>
      <c r="R19" s="12">
        <v>450</v>
      </c>
      <c r="S19" s="11">
        <v>0.8</v>
      </c>
      <c r="T19">
        <v>7.9</v>
      </c>
      <c r="U19" s="12">
        <v>23.3</v>
      </c>
      <c r="V19" s="11">
        <v>93</v>
      </c>
      <c r="W19" s="23">
        <f t="shared" si="0"/>
        <v>759.49367088607596</v>
      </c>
      <c r="X19" s="20">
        <f t="shared" si="1"/>
        <v>852.49367088607596</v>
      </c>
      <c r="Y19" s="13">
        <v>60</v>
      </c>
    </row>
    <row r="20" spans="1:25" x14ac:dyDescent="0.35">
      <c r="A20" s="11" t="s">
        <v>124</v>
      </c>
      <c r="B20" s="12" t="s">
        <v>142</v>
      </c>
      <c r="C20" s="1" t="s">
        <v>135</v>
      </c>
      <c r="D20" s="1">
        <v>2024</v>
      </c>
      <c r="E20" s="1" t="s">
        <v>784</v>
      </c>
      <c r="F20">
        <v>5052</v>
      </c>
      <c r="G20">
        <v>1937</v>
      </c>
      <c r="H20">
        <v>1423</v>
      </c>
      <c r="I20">
        <v>430</v>
      </c>
      <c r="J20" s="11">
        <v>2230</v>
      </c>
      <c r="K20" s="12">
        <v>2825</v>
      </c>
      <c r="L20" s="13">
        <v>135065</v>
      </c>
      <c r="M20" s="11">
        <v>224</v>
      </c>
      <c r="N20" s="18">
        <v>140</v>
      </c>
      <c r="O20" s="12">
        <v>345.5</v>
      </c>
      <c r="P20" s="11">
        <v>420</v>
      </c>
      <c r="Q20" s="18">
        <v>450</v>
      </c>
      <c r="R20" s="12">
        <v>650</v>
      </c>
      <c r="S20" s="11">
        <v>1</v>
      </c>
      <c r="T20">
        <v>7.5</v>
      </c>
      <c r="U20" s="12">
        <v>24.5</v>
      </c>
      <c r="V20" s="11">
        <v>92</v>
      </c>
      <c r="W20" s="23">
        <f t="shared" si="0"/>
        <v>1000</v>
      </c>
      <c r="X20" s="20">
        <f t="shared" si="1"/>
        <v>1092</v>
      </c>
      <c r="Y20" s="13">
        <v>75</v>
      </c>
    </row>
    <row r="21" spans="1:25" x14ac:dyDescent="0.35">
      <c r="A21" s="11" t="s">
        <v>81</v>
      </c>
      <c r="B21" s="12" t="s">
        <v>146</v>
      </c>
      <c r="C21" s="1" t="s">
        <v>135</v>
      </c>
      <c r="D21" s="1">
        <v>2021</v>
      </c>
      <c r="E21" s="1" t="s">
        <v>784</v>
      </c>
      <c r="F21">
        <v>5179</v>
      </c>
      <c r="G21">
        <v>1954</v>
      </c>
      <c r="H21">
        <v>1503</v>
      </c>
      <c r="I21">
        <v>350</v>
      </c>
      <c r="J21" s="11">
        <f>2410-75</f>
        <v>2335</v>
      </c>
      <c r="K21" s="12">
        <v>3035</v>
      </c>
      <c r="L21" s="13">
        <v>129525</v>
      </c>
      <c r="M21" s="11">
        <v>220</v>
      </c>
      <c r="N21" s="18">
        <v>110</v>
      </c>
      <c r="O21" s="12">
        <v>300</v>
      </c>
      <c r="P21" s="11">
        <v>450</v>
      </c>
      <c r="Q21" s="18">
        <v>440</v>
      </c>
      <c r="R21" s="12">
        <v>650</v>
      </c>
      <c r="S21" s="11">
        <v>0.6</v>
      </c>
      <c r="T21">
        <v>8.1</v>
      </c>
      <c r="U21" s="12">
        <v>22.7</v>
      </c>
      <c r="V21" s="11">
        <v>106</v>
      </c>
      <c r="W21" s="23">
        <f t="shared" si="0"/>
        <v>827.16049382716062</v>
      </c>
      <c r="X21" s="20">
        <f t="shared" si="1"/>
        <v>933.16049382716062</v>
      </c>
      <c r="Y21" s="13">
        <v>67</v>
      </c>
    </row>
    <row r="22" spans="1:25" x14ac:dyDescent="0.35">
      <c r="A22" s="11" t="s">
        <v>32</v>
      </c>
      <c r="B22" s="12" t="s">
        <v>148</v>
      </c>
      <c r="C22" s="1" t="s">
        <v>135</v>
      </c>
      <c r="D22" s="1">
        <v>2022</v>
      </c>
      <c r="E22" s="1" t="s">
        <v>784</v>
      </c>
      <c r="F22">
        <v>5190</v>
      </c>
      <c r="G22">
        <v>1954</v>
      </c>
      <c r="H22">
        <v>1473</v>
      </c>
      <c r="I22">
        <v>390</v>
      </c>
      <c r="J22" s="11">
        <v>2385</v>
      </c>
      <c r="K22" s="12">
        <v>2910</v>
      </c>
      <c r="L22" s="13">
        <v>127165</v>
      </c>
      <c r="M22" s="11">
        <v>250</v>
      </c>
      <c r="N22" s="18"/>
      <c r="O22" s="12">
        <v>250</v>
      </c>
      <c r="P22" s="11"/>
      <c r="Q22" s="18">
        <v>400</v>
      </c>
      <c r="R22" s="12">
        <v>700</v>
      </c>
      <c r="S22" s="11">
        <v>1.8</v>
      </c>
      <c r="T22">
        <v>8.6999999999999993</v>
      </c>
      <c r="U22" s="12">
        <v>22.3</v>
      </c>
      <c r="V22" s="11">
        <v>59</v>
      </c>
      <c r="W22" s="23">
        <f t="shared" si="0"/>
        <v>747.1264367816093</v>
      </c>
      <c r="X22" s="20">
        <f t="shared" si="1"/>
        <v>806.1264367816093</v>
      </c>
      <c r="Y22" s="13">
        <v>65</v>
      </c>
    </row>
    <row r="23" spans="1:25" x14ac:dyDescent="0.35">
      <c r="A23" s="11" t="s">
        <v>152</v>
      </c>
      <c r="B23" s="12" t="s">
        <v>153</v>
      </c>
      <c r="C23" s="1" t="s">
        <v>135</v>
      </c>
      <c r="D23" s="1">
        <v>2020</v>
      </c>
      <c r="E23" s="1" t="s">
        <v>784</v>
      </c>
      <c r="F23">
        <v>5316</v>
      </c>
      <c r="G23">
        <v>1978</v>
      </c>
      <c r="H23">
        <v>1484</v>
      </c>
      <c r="I23">
        <v>351</v>
      </c>
      <c r="J23" s="11">
        <v>2646</v>
      </c>
      <c r="K23" s="12">
        <v>3215</v>
      </c>
      <c r="L23" s="13">
        <v>276450</v>
      </c>
      <c r="M23" s="11"/>
      <c r="N23" s="18"/>
      <c r="O23" s="20">
        <f>771/1.36</f>
        <v>566.91176470588232</v>
      </c>
      <c r="P23" s="11"/>
      <c r="Q23" s="18"/>
      <c r="R23" s="12">
        <v>1000</v>
      </c>
      <c r="S23" s="11"/>
      <c r="T23">
        <v>10.7</v>
      </c>
      <c r="U23" s="12">
        <v>29.3</v>
      </c>
      <c r="V23" s="11">
        <v>81</v>
      </c>
      <c r="W23" s="23">
        <f t="shared" si="0"/>
        <v>747.6635514018692</v>
      </c>
      <c r="X23" s="20">
        <f t="shared" si="1"/>
        <v>828.6635514018692</v>
      </c>
      <c r="Y23" s="13">
        <v>80</v>
      </c>
    </row>
    <row r="24" spans="1:25" x14ac:dyDescent="0.35">
      <c r="A24" s="11" t="s">
        <v>37</v>
      </c>
      <c r="B24" s="12" t="s">
        <v>154</v>
      </c>
      <c r="C24" s="1" t="s">
        <v>135</v>
      </c>
      <c r="D24" s="1">
        <v>2023</v>
      </c>
      <c r="E24" s="1" t="s">
        <v>784</v>
      </c>
      <c r="F24">
        <v>5391</v>
      </c>
      <c r="G24">
        <v>1950</v>
      </c>
      <c r="H24">
        <v>1544</v>
      </c>
      <c r="I24">
        <v>540</v>
      </c>
      <c r="J24" s="11">
        <v>2455</v>
      </c>
      <c r="K24" s="12">
        <v>3120</v>
      </c>
      <c r="L24" s="13">
        <v>133450</v>
      </c>
      <c r="M24" s="11">
        <v>230</v>
      </c>
      <c r="N24" s="18">
        <v>145</v>
      </c>
      <c r="O24" s="12">
        <v>360</v>
      </c>
      <c r="P24" s="11">
        <v>450</v>
      </c>
      <c r="Q24" s="18">
        <v>280</v>
      </c>
      <c r="R24" s="12">
        <v>700</v>
      </c>
      <c r="S24" s="11">
        <v>1.2</v>
      </c>
      <c r="T24">
        <v>8</v>
      </c>
      <c r="U24" s="12">
        <v>23.5</v>
      </c>
      <c r="V24" s="11">
        <v>77</v>
      </c>
      <c r="W24" s="23">
        <f t="shared" si="0"/>
        <v>812.5</v>
      </c>
      <c r="X24" s="20">
        <f t="shared" si="1"/>
        <v>889.5</v>
      </c>
      <c r="Y24" s="13">
        <v>65</v>
      </c>
    </row>
    <row r="25" spans="1:25" x14ac:dyDescent="0.35">
      <c r="A25" s="11" t="s">
        <v>213</v>
      </c>
      <c r="B25" s="12" t="s">
        <v>214</v>
      </c>
      <c r="C25" s="1" t="s">
        <v>198</v>
      </c>
      <c r="D25" s="1">
        <v>2021</v>
      </c>
      <c r="E25" s="1" t="s">
        <v>784</v>
      </c>
      <c r="F25">
        <v>4539</v>
      </c>
      <c r="G25">
        <v>1913</v>
      </c>
      <c r="H25">
        <v>1193</v>
      </c>
      <c r="I25">
        <v>160</v>
      </c>
      <c r="J25" s="11">
        <v>1498</v>
      </c>
      <c r="K25" s="12">
        <v>1816</v>
      </c>
      <c r="L25" s="13">
        <v>234000</v>
      </c>
      <c r="M25" s="11"/>
      <c r="N25" s="18"/>
      <c r="O25" s="12">
        <v>515</v>
      </c>
      <c r="P25" s="11"/>
      <c r="Q25" s="18"/>
      <c r="R25" s="12">
        <v>720</v>
      </c>
      <c r="S25" s="11">
        <v>4.8</v>
      </c>
      <c r="T25">
        <v>8.4</v>
      </c>
      <c r="U25" s="12">
        <v>20.7</v>
      </c>
      <c r="V25" s="11">
        <v>33</v>
      </c>
      <c r="W25" s="23">
        <f t="shared" si="0"/>
        <v>773.80952380952385</v>
      </c>
      <c r="X25" s="20">
        <f t="shared" si="1"/>
        <v>806.80952380952385</v>
      </c>
      <c r="Y25" s="13">
        <v>65</v>
      </c>
    </row>
    <row r="26" spans="1:25" x14ac:dyDescent="0.35">
      <c r="A26" s="11" t="s">
        <v>218</v>
      </c>
      <c r="B26" s="12" t="s">
        <v>227</v>
      </c>
      <c r="C26" s="1" t="s">
        <v>198</v>
      </c>
      <c r="D26" s="1">
        <v>2025</v>
      </c>
      <c r="E26" s="1" t="s">
        <v>784</v>
      </c>
      <c r="F26">
        <v>4706</v>
      </c>
      <c r="G26">
        <v>1996</v>
      </c>
      <c r="H26">
        <v>1201</v>
      </c>
      <c r="I26">
        <v>112</v>
      </c>
      <c r="J26" s="11">
        <v>1690</v>
      </c>
      <c r="K26" s="12">
        <v>1765</v>
      </c>
      <c r="L26" s="13">
        <v>290000</v>
      </c>
      <c r="M26" s="25">
        <f>800/1.36</f>
        <v>588.23529411764707</v>
      </c>
      <c r="N26" s="23">
        <v>330</v>
      </c>
      <c r="O26" s="20">
        <f>920/1.36</f>
        <v>676.47058823529403</v>
      </c>
      <c r="P26" s="25">
        <v>730</v>
      </c>
      <c r="Q26" s="23"/>
      <c r="R26" s="20">
        <v>900</v>
      </c>
      <c r="S26" s="11"/>
      <c r="T26"/>
      <c r="U26" s="12"/>
      <c r="V26" s="11"/>
      <c r="W26" s="23" t="str">
        <f t="shared" si="0"/>
        <v/>
      </c>
      <c r="X26" s="20" t="str">
        <f t="shared" si="1"/>
        <v/>
      </c>
      <c r="Y26" s="13">
        <v>68</v>
      </c>
    </row>
    <row r="27" spans="1:25" x14ac:dyDescent="0.35">
      <c r="A27" s="11" t="s">
        <v>218</v>
      </c>
      <c r="B27" s="12" t="s">
        <v>235</v>
      </c>
      <c r="C27" s="1" t="s">
        <v>198</v>
      </c>
      <c r="D27" s="1">
        <v>2024</v>
      </c>
      <c r="E27" s="1" t="s">
        <v>784</v>
      </c>
      <c r="F27">
        <v>4947</v>
      </c>
      <c r="G27">
        <v>2033</v>
      </c>
      <c r="H27">
        <v>1160</v>
      </c>
      <c r="I27">
        <v>0</v>
      </c>
      <c r="J27" s="11">
        <f>1967-75</f>
        <v>1892</v>
      </c>
      <c r="K27" s="12">
        <v>2200</v>
      </c>
      <c r="L27" s="13">
        <v>608358</v>
      </c>
      <c r="M27" s="25">
        <f>825/1.36</f>
        <v>606.61764705882354</v>
      </c>
      <c r="N27" s="23">
        <f>3*147/1.36</f>
        <v>324.26470588235293</v>
      </c>
      <c r="O27" s="20">
        <f>1015/1.36</f>
        <v>746.32352941176464</v>
      </c>
      <c r="P27" s="25">
        <v>725</v>
      </c>
      <c r="Q27" s="23"/>
      <c r="R27" s="20">
        <v>1420</v>
      </c>
      <c r="S27" s="11">
        <v>11.86</v>
      </c>
      <c r="T27">
        <v>21</v>
      </c>
      <c r="U27" s="12">
        <v>10.1</v>
      </c>
      <c r="V27" s="11">
        <v>8</v>
      </c>
      <c r="W27" s="23">
        <f t="shared" si="0"/>
        <v>404.76190476190476</v>
      </c>
      <c r="X27" s="20">
        <f t="shared" si="1"/>
        <v>412.76190476190476</v>
      </c>
      <c r="Y27" s="13">
        <v>85</v>
      </c>
    </row>
    <row r="28" spans="1:25" x14ac:dyDescent="0.35">
      <c r="A28" s="11" t="s">
        <v>24</v>
      </c>
      <c r="B28" s="12" t="s">
        <v>242</v>
      </c>
      <c r="C28" s="1" t="s">
        <v>238</v>
      </c>
      <c r="D28" s="1">
        <v>2022</v>
      </c>
      <c r="E28" s="1" t="s">
        <v>784</v>
      </c>
      <c r="F28">
        <v>4600</v>
      </c>
      <c r="G28">
        <v>1800</v>
      </c>
      <c r="H28">
        <v>1465</v>
      </c>
      <c r="I28">
        <v>427</v>
      </c>
      <c r="J28" s="11">
        <v>1600</v>
      </c>
      <c r="K28" s="12">
        <v>2030</v>
      </c>
      <c r="L28" s="13">
        <v>35598</v>
      </c>
      <c r="M28" s="25">
        <v>77</v>
      </c>
      <c r="N28" s="21">
        <v>69</v>
      </c>
      <c r="O28" s="20">
        <v>132</v>
      </c>
      <c r="P28" s="25">
        <v>143</v>
      </c>
      <c r="Q28" s="23">
        <v>240</v>
      </c>
      <c r="R28" s="20">
        <v>265</v>
      </c>
      <c r="S28" s="11">
        <v>1.5</v>
      </c>
      <c r="T28">
        <v>5.6</v>
      </c>
      <c r="U28" s="12"/>
      <c r="V28" s="11">
        <v>42</v>
      </c>
      <c r="W28" s="23">
        <f t="shared" si="0"/>
        <v>660.71428571428578</v>
      </c>
      <c r="X28" s="20">
        <f t="shared" si="1"/>
        <v>702.71428571428578</v>
      </c>
      <c r="Y28" s="13">
        <v>37</v>
      </c>
    </row>
    <row r="29" spans="1:25" x14ac:dyDescent="0.35">
      <c r="A29" s="11" t="s">
        <v>40</v>
      </c>
      <c r="B29" s="12" t="s">
        <v>245</v>
      </c>
      <c r="C29" s="1" t="s">
        <v>238</v>
      </c>
      <c r="D29" s="1">
        <v>2022</v>
      </c>
      <c r="E29" s="1" t="s">
        <v>784</v>
      </c>
      <c r="F29">
        <v>4636</v>
      </c>
      <c r="G29">
        <v>1852</v>
      </c>
      <c r="H29">
        <v>1450</v>
      </c>
      <c r="I29">
        <v>548</v>
      </c>
      <c r="J29" s="11">
        <f>1660</f>
        <v>1660</v>
      </c>
      <c r="K29" s="12">
        <v>2185</v>
      </c>
      <c r="L29" s="13">
        <v>44160</v>
      </c>
      <c r="M29" s="11">
        <v>110</v>
      </c>
      <c r="N29" s="18">
        <v>81.2</v>
      </c>
      <c r="O29" s="12">
        <v>132.5</v>
      </c>
      <c r="P29" s="11">
        <v>250</v>
      </c>
      <c r="Q29" s="18">
        <v>320</v>
      </c>
      <c r="R29" s="12">
        <v>360</v>
      </c>
      <c r="S29" s="11">
        <v>1.1000000000000001</v>
      </c>
      <c r="T29">
        <v>5.7</v>
      </c>
      <c r="U29" s="12">
        <v>14.2</v>
      </c>
      <c r="V29" s="11">
        <v>67</v>
      </c>
      <c r="W29" s="23">
        <f t="shared" si="0"/>
        <v>701.75438596491222</v>
      </c>
      <c r="X29" s="20">
        <f t="shared" si="1"/>
        <v>768.75438596491222</v>
      </c>
      <c r="Y29" s="13">
        <v>40</v>
      </c>
    </row>
    <row r="30" spans="1:25" x14ac:dyDescent="0.35">
      <c r="A30" s="11" t="s">
        <v>41</v>
      </c>
      <c r="B30" s="12" t="s">
        <v>250</v>
      </c>
      <c r="C30" s="1" t="s">
        <v>238</v>
      </c>
      <c r="D30" s="1">
        <v>2020</v>
      </c>
      <c r="E30" s="1" t="s">
        <v>784</v>
      </c>
      <c r="F30">
        <v>4642</v>
      </c>
      <c r="G30">
        <v>1799</v>
      </c>
      <c r="H30">
        <v>1451</v>
      </c>
      <c r="I30">
        <v>470</v>
      </c>
      <c r="J30" s="11">
        <v>1641</v>
      </c>
      <c r="K30" s="12">
        <v>2130</v>
      </c>
      <c r="L30" s="13">
        <v>35410</v>
      </c>
      <c r="M30" s="11">
        <v>110</v>
      </c>
      <c r="N30" s="18">
        <v>85</v>
      </c>
      <c r="O30" s="12">
        <v>150</v>
      </c>
      <c r="P30" s="11">
        <v>250</v>
      </c>
      <c r="Q30" s="18">
        <v>330</v>
      </c>
      <c r="R30" s="12">
        <v>350</v>
      </c>
      <c r="S30" s="11">
        <v>0.4</v>
      </c>
      <c r="T30">
        <v>5.6</v>
      </c>
      <c r="U30" s="12">
        <v>15.8</v>
      </c>
      <c r="V30" s="11">
        <v>130</v>
      </c>
      <c r="W30" s="23">
        <f t="shared" si="0"/>
        <v>714.28571428571433</v>
      </c>
      <c r="X30" s="20">
        <f t="shared" si="1"/>
        <v>844.28571428571433</v>
      </c>
      <c r="Y30" s="13">
        <v>40</v>
      </c>
    </row>
    <row r="31" spans="1:25" x14ac:dyDescent="0.35">
      <c r="A31" s="11" t="s">
        <v>47</v>
      </c>
      <c r="B31" s="12" t="s">
        <v>247</v>
      </c>
      <c r="C31" s="1" t="s">
        <v>238</v>
      </c>
      <c r="D31" s="1">
        <v>2022</v>
      </c>
      <c r="E31" s="1" t="s">
        <v>784</v>
      </c>
      <c r="F31">
        <v>4642</v>
      </c>
      <c r="G31">
        <v>1860</v>
      </c>
      <c r="H31">
        <v>1480</v>
      </c>
      <c r="I31">
        <v>516</v>
      </c>
      <c r="J31" s="11">
        <f>1717-75</f>
        <v>1642</v>
      </c>
      <c r="K31" s="12">
        <v>2170</v>
      </c>
      <c r="L31" s="13">
        <v>42200</v>
      </c>
      <c r="M31" s="25">
        <v>110</v>
      </c>
      <c r="N31" s="23">
        <v>81</v>
      </c>
      <c r="O31" s="20">
        <v>132</v>
      </c>
      <c r="P31" s="25">
        <v>250</v>
      </c>
      <c r="Q31" s="23">
        <v>320</v>
      </c>
      <c r="R31" s="20">
        <v>360</v>
      </c>
      <c r="S31" s="11">
        <v>1.3</v>
      </c>
      <c r="T31" s="21">
        <v>5.7</v>
      </c>
      <c r="U31" s="12">
        <v>16.5</v>
      </c>
      <c r="V31" s="11">
        <v>57</v>
      </c>
      <c r="W31" s="23">
        <f t="shared" si="0"/>
        <v>701.75438596491222</v>
      </c>
      <c r="X31" s="20">
        <f t="shared" si="1"/>
        <v>758.75438596491222</v>
      </c>
      <c r="Y31" s="13">
        <v>40</v>
      </c>
    </row>
    <row r="32" spans="1:25" x14ac:dyDescent="0.35">
      <c r="A32" s="11" t="s">
        <v>27</v>
      </c>
      <c r="B32" s="12" t="s">
        <v>250</v>
      </c>
      <c r="C32" s="1" t="s">
        <v>238</v>
      </c>
      <c r="D32" s="1">
        <v>2020</v>
      </c>
      <c r="E32" s="1" t="s">
        <v>784</v>
      </c>
      <c r="F32">
        <v>4642</v>
      </c>
      <c r="G32">
        <v>1799</v>
      </c>
      <c r="H32">
        <v>1451</v>
      </c>
      <c r="I32">
        <v>470</v>
      </c>
      <c r="J32" s="11">
        <v>1693</v>
      </c>
      <c r="K32" s="12">
        <v>2070</v>
      </c>
      <c r="L32" s="13">
        <v>45110</v>
      </c>
      <c r="M32" s="11">
        <v>110</v>
      </c>
      <c r="N32" s="18">
        <v>85</v>
      </c>
      <c r="O32" s="12">
        <v>150</v>
      </c>
      <c r="P32" s="11">
        <v>250</v>
      </c>
      <c r="Q32" s="18">
        <v>330</v>
      </c>
      <c r="R32" s="12">
        <v>350</v>
      </c>
      <c r="S32" s="11"/>
      <c r="T32">
        <v>5.3</v>
      </c>
      <c r="U32" s="12">
        <v>15.9</v>
      </c>
      <c r="V32" s="11">
        <v>129</v>
      </c>
      <c r="W32" s="23">
        <f t="shared" si="0"/>
        <v>754.71698113207549</v>
      </c>
      <c r="X32" s="20">
        <f t="shared" si="1"/>
        <v>883.71698113207549</v>
      </c>
      <c r="Y32" s="13">
        <v>40</v>
      </c>
    </row>
    <row r="33" spans="1:25" x14ac:dyDescent="0.35">
      <c r="A33" s="11" t="s">
        <v>81</v>
      </c>
      <c r="B33" s="12" t="s">
        <v>252</v>
      </c>
      <c r="C33" s="1" t="s">
        <v>238</v>
      </c>
      <c r="D33" s="1">
        <v>2023</v>
      </c>
      <c r="E33" s="1" t="s">
        <v>784</v>
      </c>
      <c r="F33">
        <v>4688</v>
      </c>
      <c r="G33">
        <v>1830</v>
      </c>
      <c r="H33">
        <v>1442</v>
      </c>
      <c r="I33">
        <v>440</v>
      </c>
      <c r="J33" s="11">
        <v>1700</v>
      </c>
      <c r="K33" s="12">
        <v>2280</v>
      </c>
      <c r="L33" s="13">
        <v>53495</v>
      </c>
      <c r="M33" s="11">
        <v>120</v>
      </c>
      <c r="N33" s="18">
        <v>80</v>
      </c>
      <c r="O33" s="12">
        <v>160</v>
      </c>
      <c r="P33" s="11">
        <v>270</v>
      </c>
      <c r="Q33" s="18">
        <v>300</v>
      </c>
      <c r="R33" s="12">
        <v>450</v>
      </c>
      <c r="S33" s="11">
        <v>1</v>
      </c>
      <c r="T33">
        <v>5.9</v>
      </c>
      <c r="U33" s="12">
        <v>18.899999999999999</v>
      </c>
      <c r="V33" s="11">
        <v>79</v>
      </c>
      <c r="W33" s="23">
        <f t="shared" si="0"/>
        <v>593.22033898305074</v>
      </c>
      <c r="X33" s="20">
        <f t="shared" si="1"/>
        <v>672.22033898305074</v>
      </c>
      <c r="Y33" s="13">
        <v>35</v>
      </c>
    </row>
    <row r="34" spans="1:25" x14ac:dyDescent="0.35">
      <c r="A34" s="11" t="s">
        <v>37</v>
      </c>
      <c r="B34" s="12" t="s">
        <v>254</v>
      </c>
      <c r="C34" s="1" t="s">
        <v>238</v>
      </c>
      <c r="D34" s="1">
        <v>2023</v>
      </c>
      <c r="E34" s="1" t="s">
        <v>784</v>
      </c>
      <c r="F34">
        <v>4713</v>
      </c>
      <c r="G34">
        <v>1827</v>
      </c>
      <c r="H34">
        <v>1440</v>
      </c>
      <c r="I34">
        <v>410</v>
      </c>
      <c r="J34" s="11">
        <v>1970</v>
      </c>
      <c r="K34" s="12">
        <v>2420</v>
      </c>
      <c r="L34" s="13">
        <v>64900</v>
      </c>
      <c r="M34" s="11">
        <v>135</v>
      </c>
      <c r="N34" s="18">
        <v>80</v>
      </c>
      <c r="O34" s="12">
        <v>215</v>
      </c>
      <c r="P34" s="11">
        <v>300</v>
      </c>
      <c r="Q34" s="18">
        <v>265</v>
      </c>
      <c r="R34" s="12">
        <v>420</v>
      </c>
      <c r="S34" s="11">
        <v>1.1000000000000001</v>
      </c>
      <c r="T34">
        <v>7.8</v>
      </c>
      <c r="U34" s="12">
        <v>23</v>
      </c>
      <c r="V34" s="11">
        <v>90</v>
      </c>
      <c r="W34" s="23">
        <f t="shared" si="0"/>
        <v>512.82051282051282</v>
      </c>
      <c r="X34" s="20">
        <f t="shared" si="1"/>
        <v>602.82051282051282</v>
      </c>
      <c r="Y34" s="13">
        <v>40</v>
      </c>
    </row>
    <row r="35" spans="1:25" x14ac:dyDescent="0.35">
      <c r="A35" s="11" t="s">
        <v>81</v>
      </c>
      <c r="B35" s="12" t="s">
        <v>255</v>
      </c>
      <c r="C35" s="1" t="s">
        <v>238</v>
      </c>
      <c r="D35" s="1">
        <v>2021</v>
      </c>
      <c r="E35" s="1" t="s">
        <v>784</v>
      </c>
      <c r="F35">
        <v>4751</v>
      </c>
      <c r="G35">
        <v>1820</v>
      </c>
      <c r="H35">
        <v>1455</v>
      </c>
      <c r="I35">
        <v>360</v>
      </c>
      <c r="J35" s="11">
        <f>2120-75</f>
        <v>2045</v>
      </c>
      <c r="K35" s="12">
        <v>2655</v>
      </c>
      <c r="L35" s="13">
        <v>64936</v>
      </c>
      <c r="M35" s="11">
        <v>150</v>
      </c>
      <c r="N35" s="18">
        <v>95</v>
      </c>
      <c r="O35" s="12">
        <v>230</v>
      </c>
      <c r="P35" s="11">
        <v>320</v>
      </c>
      <c r="Q35" s="18">
        <v>440</v>
      </c>
      <c r="R35" s="12">
        <v>550</v>
      </c>
      <c r="S35" s="11">
        <v>0.6</v>
      </c>
      <c r="T35">
        <v>7.4</v>
      </c>
      <c r="U35" s="12">
        <v>19.600000000000001</v>
      </c>
      <c r="V35" s="11">
        <v>108</v>
      </c>
      <c r="W35" s="23">
        <f t="shared" si="0"/>
        <v>675.67567567567562</v>
      </c>
      <c r="X35" s="20">
        <f t="shared" si="1"/>
        <v>783.67567567567562</v>
      </c>
      <c r="Y35" s="13">
        <v>50</v>
      </c>
    </row>
    <row r="36" spans="1:25" x14ac:dyDescent="0.35">
      <c r="A36" s="11" t="s">
        <v>96</v>
      </c>
      <c r="B36" s="12" t="s">
        <v>257</v>
      </c>
      <c r="C36" s="1" t="s">
        <v>238</v>
      </c>
      <c r="D36" s="1">
        <v>2025</v>
      </c>
      <c r="E36" s="1" t="s">
        <v>784</v>
      </c>
      <c r="F36">
        <v>4778</v>
      </c>
      <c r="G36">
        <v>1850</v>
      </c>
      <c r="H36">
        <v>1427</v>
      </c>
      <c r="I36">
        <v>481</v>
      </c>
      <c r="J36" s="11">
        <f>2064-75</f>
        <v>1989</v>
      </c>
      <c r="K36" s="12">
        <v>2530</v>
      </c>
      <c r="L36" s="13">
        <v>62250</v>
      </c>
      <c r="M36" s="25">
        <f>312/1.36</f>
        <v>229.41176470588235</v>
      </c>
      <c r="N36" s="23"/>
      <c r="O36" s="20">
        <v>257</v>
      </c>
      <c r="P36" s="25"/>
      <c r="Q36" s="23"/>
      <c r="R36" s="20">
        <v>659</v>
      </c>
      <c r="S36" s="32">
        <v>0.7</v>
      </c>
      <c r="T36" s="29">
        <v>5.3</v>
      </c>
      <c r="U36" s="33">
        <v>16.600000000000001</v>
      </c>
      <c r="V36" s="11">
        <v>92</v>
      </c>
      <c r="W36" s="23">
        <f t="shared" si="0"/>
        <v>1132.0754716981132</v>
      </c>
      <c r="X36" s="20">
        <f t="shared" si="1"/>
        <v>1224.0754716981132</v>
      </c>
      <c r="Y36" s="13">
        <v>60</v>
      </c>
    </row>
    <row r="37" spans="1:25" x14ac:dyDescent="0.35">
      <c r="A37" s="11" t="s">
        <v>40</v>
      </c>
      <c r="B37" s="12" t="s">
        <v>258</v>
      </c>
      <c r="C37" s="1" t="s">
        <v>238</v>
      </c>
      <c r="D37" s="1">
        <v>2025</v>
      </c>
      <c r="E37" s="1" t="s">
        <v>784</v>
      </c>
      <c r="F37">
        <v>4778</v>
      </c>
      <c r="G37">
        <v>1859</v>
      </c>
      <c r="H37">
        <v>1420</v>
      </c>
      <c r="I37">
        <v>530</v>
      </c>
      <c r="J37" s="11">
        <v>1771</v>
      </c>
      <c r="K37" s="12">
        <v>2300</v>
      </c>
      <c r="L37" s="13">
        <v>52310</v>
      </c>
      <c r="M37" s="11">
        <v>110</v>
      </c>
      <c r="N37" s="18">
        <v>81.2</v>
      </c>
      <c r="O37" s="12">
        <v>132.5</v>
      </c>
      <c r="P37" s="11">
        <v>250</v>
      </c>
      <c r="Q37" s="18">
        <v>320</v>
      </c>
      <c r="R37" s="12">
        <v>360</v>
      </c>
      <c r="S37" s="11">
        <v>1.2</v>
      </c>
      <c r="T37">
        <v>5.6</v>
      </c>
      <c r="U37" s="12">
        <v>14.9</v>
      </c>
      <c r="V37" s="11">
        <v>62</v>
      </c>
      <c r="W37" s="23">
        <f t="shared" si="0"/>
        <v>767.85714285714289</v>
      </c>
      <c r="X37" s="20">
        <f t="shared" si="1"/>
        <v>829.85714285714289</v>
      </c>
      <c r="Y37" s="13">
        <v>43</v>
      </c>
    </row>
    <row r="38" spans="1:25" x14ac:dyDescent="0.35">
      <c r="A38" s="11" t="s">
        <v>119</v>
      </c>
      <c r="B38" s="12" t="s">
        <v>262</v>
      </c>
      <c r="C38" s="1" t="s">
        <v>238</v>
      </c>
      <c r="D38" s="1">
        <v>2024</v>
      </c>
      <c r="E38" s="1" t="s">
        <v>784</v>
      </c>
      <c r="F38">
        <v>4917</v>
      </c>
      <c r="G38">
        <v>1849</v>
      </c>
      <c r="H38">
        <v>1497</v>
      </c>
      <c r="I38">
        <v>510</v>
      </c>
      <c r="J38" s="11">
        <v>1849</v>
      </c>
      <c r="K38" s="12">
        <v>2350</v>
      </c>
      <c r="L38" s="13">
        <v>50320</v>
      </c>
      <c r="M38" s="11">
        <v>110</v>
      </c>
      <c r="N38" s="18">
        <v>85</v>
      </c>
      <c r="O38" s="12">
        <v>150</v>
      </c>
      <c r="P38" s="11">
        <v>250</v>
      </c>
      <c r="Q38" s="18">
        <v>350</v>
      </c>
      <c r="R38" s="12">
        <v>350</v>
      </c>
      <c r="S38" s="11">
        <v>0.4</v>
      </c>
      <c r="T38">
        <v>5.6</v>
      </c>
      <c r="U38" s="12">
        <v>16</v>
      </c>
      <c r="V38" s="11">
        <v>133</v>
      </c>
      <c r="W38" s="23">
        <f t="shared" si="0"/>
        <v>803.57142857142867</v>
      </c>
      <c r="X38" s="20">
        <f t="shared" si="1"/>
        <v>936.57142857142867</v>
      </c>
      <c r="Y38" s="13">
        <v>45</v>
      </c>
    </row>
    <row r="39" spans="1:25" x14ac:dyDescent="0.35">
      <c r="A39" s="11" t="s">
        <v>96</v>
      </c>
      <c r="B39" s="12" t="s">
        <v>264</v>
      </c>
      <c r="C39" s="1" t="s">
        <v>238</v>
      </c>
      <c r="D39" s="1">
        <v>2025</v>
      </c>
      <c r="E39" s="1" t="s">
        <v>784</v>
      </c>
      <c r="F39">
        <v>4945</v>
      </c>
      <c r="G39">
        <v>1879</v>
      </c>
      <c r="H39">
        <v>1458</v>
      </c>
      <c r="I39">
        <v>488</v>
      </c>
      <c r="J39" s="11">
        <f>2075-75</f>
        <v>2000</v>
      </c>
      <c r="K39" s="12">
        <v>2590</v>
      </c>
      <c r="L39" s="13">
        <v>77200</v>
      </c>
      <c r="M39" s="25"/>
      <c r="N39" s="23"/>
      <c r="O39" s="20">
        <v>257</v>
      </c>
      <c r="P39" s="25"/>
      <c r="Q39" s="23"/>
      <c r="R39" s="20">
        <v>659</v>
      </c>
      <c r="S39" s="32">
        <v>0.8</v>
      </c>
      <c r="T39" s="29">
        <f>282.54133/37.9</f>
        <v>7.4549163588390508</v>
      </c>
      <c r="U39" s="33">
        <v>17.5</v>
      </c>
      <c r="V39" s="11">
        <v>87</v>
      </c>
      <c r="W39" s="23">
        <f t="shared" si="0"/>
        <v>804.83800370020185</v>
      </c>
      <c r="X39" s="20">
        <f t="shared" si="1"/>
        <v>891.83800370020185</v>
      </c>
      <c r="Y39" s="13">
        <v>60</v>
      </c>
    </row>
    <row r="40" spans="1:25" x14ac:dyDescent="0.35">
      <c r="A40" s="11" t="s">
        <v>81</v>
      </c>
      <c r="B40" s="12" t="s">
        <v>266</v>
      </c>
      <c r="C40" s="1" t="s">
        <v>238</v>
      </c>
      <c r="D40" s="1">
        <v>2024</v>
      </c>
      <c r="E40" s="1" t="s">
        <v>784</v>
      </c>
      <c r="F40">
        <v>4949</v>
      </c>
      <c r="G40">
        <v>1880</v>
      </c>
      <c r="H40">
        <v>1469</v>
      </c>
      <c r="I40">
        <v>460</v>
      </c>
      <c r="J40" s="11">
        <f>2255-75</f>
        <v>2180</v>
      </c>
      <c r="K40" s="12">
        <v>2855</v>
      </c>
      <c r="L40" s="13">
        <v>72045</v>
      </c>
      <c r="M40" s="11">
        <v>150</v>
      </c>
      <c r="N40" s="18">
        <v>95</v>
      </c>
      <c r="O40" s="12">
        <v>230</v>
      </c>
      <c r="P40" s="11">
        <v>320</v>
      </c>
      <c r="Q40" s="18">
        <v>440</v>
      </c>
      <c r="R40" s="12">
        <v>550</v>
      </c>
      <c r="S40" s="11">
        <v>0.6</v>
      </c>
      <c r="T40">
        <v>7.5</v>
      </c>
      <c r="U40" s="12">
        <v>20.100000000000001</v>
      </c>
      <c r="V40" s="11">
        <v>104</v>
      </c>
      <c r="W40" s="23">
        <f t="shared" si="0"/>
        <v>666.66666666666674</v>
      </c>
      <c r="X40" s="20">
        <f t="shared" si="1"/>
        <v>770.66666666666674</v>
      </c>
      <c r="Y40" s="13">
        <v>50</v>
      </c>
    </row>
    <row r="41" spans="1:25" x14ac:dyDescent="0.35">
      <c r="A41" s="11" t="s">
        <v>37</v>
      </c>
      <c r="B41" s="12" t="s">
        <v>268</v>
      </c>
      <c r="C41" s="1" t="s">
        <v>238</v>
      </c>
      <c r="D41" s="1">
        <v>2020</v>
      </c>
      <c r="E41" s="1" t="s">
        <v>784</v>
      </c>
      <c r="F41">
        <v>4963</v>
      </c>
      <c r="G41">
        <v>1868</v>
      </c>
      <c r="H41">
        <v>1498</v>
      </c>
      <c r="I41">
        <v>430</v>
      </c>
      <c r="J41" s="11">
        <v>2140</v>
      </c>
      <c r="K41" s="12">
        <v>2740</v>
      </c>
      <c r="L41" s="13">
        <v>75200</v>
      </c>
      <c r="M41" s="11">
        <v>140</v>
      </c>
      <c r="N41" s="18">
        <v>135</v>
      </c>
      <c r="O41" s="12">
        <v>220</v>
      </c>
      <c r="P41" s="11">
        <v>310</v>
      </c>
      <c r="Q41" s="18">
        <v>250</v>
      </c>
      <c r="R41" s="12">
        <v>450</v>
      </c>
      <c r="S41" s="11">
        <v>0.9</v>
      </c>
      <c r="T41">
        <v>7.9</v>
      </c>
      <c r="U41" s="12">
        <v>21.6</v>
      </c>
      <c r="V41" s="11">
        <v>94</v>
      </c>
      <c r="W41" s="23">
        <f t="shared" si="0"/>
        <v>759.49367088607596</v>
      </c>
      <c r="X41" s="20">
        <f t="shared" si="1"/>
        <v>853.49367088607596</v>
      </c>
      <c r="Y41" s="13">
        <v>60</v>
      </c>
    </row>
    <row r="42" spans="1:25" x14ac:dyDescent="0.35">
      <c r="A42" s="11" t="s">
        <v>81</v>
      </c>
      <c r="B42" s="12" t="s">
        <v>274</v>
      </c>
      <c r="C42" s="1" t="s">
        <v>271</v>
      </c>
      <c r="D42" s="1">
        <v>2023</v>
      </c>
      <c r="E42" s="1" t="s">
        <v>784</v>
      </c>
      <c r="F42">
        <v>4419</v>
      </c>
      <c r="G42">
        <v>1796</v>
      </c>
      <c r="H42">
        <v>1562</v>
      </c>
      <c r="I42">
        <v>445</v>
      </c>
      <c r="J42" s="11">
        <f>1755-75</f>
        <v>1680</v>
      </c>
      <c r="K42" s="12">
        <v>2250</v>
      </c>
      <c r="L42" s="13">
        <v>49926</v>
      </c>
      <c r="M42" s="11">
        <v>120</v>
      </c>
      <c r="N42" s="18">
        <v>80</v>
      </c>
      <c r="O42" s="12">
        <v>160</v>
      </c>
      <c r="P42" s="11">
        <v>270</v>
      </c>
      <c r="Q42" s="18">
        <v>300</v>
      </c>
      <c r="R42" s="12">
        <v>450</v>
      </c>
      <c r="S42" s="11">
        <v>0.8</v>
      </c>
      <c r="T42">
        <v>5.9</v>
      </c>
      <c r="U42" s="12">
        <v>18.399999999999999</v>
      </c>
      <c r="V42" s="11">
        <v>80</v>
      </c>
      <c r="W42" s="23">
        <f t="shared" si="0"/>
        <v>593.22033898305074</v>
      </c>
      <c r="X42" s="20">
        <f t="shared" si="1"/>
        <v>673.22033898305074</v>
      </c>
      <c r="Y42" s="13">
        <v>35</v>
      </c>
    </row>
    <row r="43" spans="1:25" x14ac:dyDescent="0.35">
      <c r="A43" s="11" t="s">
        <v>170</v>
      </c>
      <c r="B43" s="12" t="s">
        <v>307</v>
      </c>
      <c r="C43" s="1" t="s">
        <v>300</v>
      </c>
      <c r="D43" s="1">
        <v>2023</v>
      </c>
      <c r="E43" s="1" t="s">
        <v>784</v>
      </c>
      <c r="F43">
        <v>4227</v>
      </c>
      <c r="G43">
        <v>1797</v>
      </c>
      <c r="H43">
        <v>1566</v>
      </c>
      <c r="I43">
        <v>265</v>
      </c>
      <c r="J43" s="11">
        <v>1596</v>
      </c>
      <c r="K43" s="12">
        <v>2060</v>
      </c>
      <c r="L43" s="13">
        <v>32290</v>
      </c>
      <c r="M43" s="11">
        <v>67</v>
      </c>
      <c r="N43" s="18">
        <f>49+25</f>
        <v>74</v>
      </c>
      <c r="O43" s="12">
        <v>116</v>
      </c>
      <c r="P43" s="11">
        <v>144</v>
      </c>
      <c r="Q43" s="18">
        <f>205+50</f>
        <v>255</v>
      </c>
      <c r="R43" s="12">
        <v>290</v>
      </c>
      <c r="S43" s="11">
        <v>1.3</v>
      </c>
      <c r="T43">
        <v>5.9</v>
      </c>
      <c r="U43" s="12"/>
      <c r="V43" s="11">
        <v>47</v>
      </c>
      <c r="W43" s="23">
        <f t="shared" si="0"/>
        <v>661.01694915254234</v>
      </c>
      <c r="X43" s="20">
        <f t="shared" si="1"/>
        <v>708.01694915254234</v>
      </c>
      <c r="Y43" s="13">
        <v>39</v>
      </c>
    </row>
    <row r="44" spans="1:25" x14ac:dyDescent="0.35">
      <c r="A44" s="11" t="s">
        <v>284</v>
      </c>
      <c r="B44" s="12" t="s">
        <v>310</v>
      </c>
      <c r="C44" s="1" t="s">
        <v>300</v>
      </c>
      <c r="D44" s="1">
        <v>2019</v>
      </c>
      <c r="E44" s="1" t="s">
        <v>784</v>
      </c>
      <c r="F44">
        <v>4236</v>
      </c>
      <c r="G44">
        <v>1805</v>
      </c>
      <c r="H44">
        <v>1697</v>
      </c>
      <c r="I44">
        <v>330</v>
      </c>
      <c r="J44" s="11">
        <f>1845-75</f>
        <v>1770</v>
      </c>
      <c r="K44" s="12">
        <v>2315</v>
      </c>
      <c r="L44" s="13">
        <v>46028</v>
      </c>
      <c r="M44" s="11">
        <v>132</v>
      </c>
      <c r="N44" s="18">
        <v>44</v>
      </c>
      <c r="O44" s="20">
        <f>240/1.36</f>
        <v>176.47058823529412</v>
      </c>
      <c r="P44" s="25">
        <v>270</v>
      </c>
      <c r="Q44" s="23">
        <v>250</v>
      </c>
      <c r="R44" s="20">
        <v>270</v>
      </c>
      <c r="S44" s="11">
        <v>2.2000000000000002</v>
      </c>
      <c r="T44" s="27">
        <v>7.5</v>
      </c>
      <c r="U44" s="26">
        <v>17.899999999999999</v>
      </c>
      <c r="V44" s="11">
        <v>41</v>
      </c>
      <c r="W44" s="23">
        <f t="shared" si="0"/>
        <v>520</v>
      </c>
      <c r="X44" s="20">
        <f t="shared" si="1"/>
        <v>561</v>
      </c>
      <c r="Y44" s="13">
        <v>39</v>
      </c>
    </row>
    <row r="45" spans="1:25" x14ac:dyDescent="0.35">
      <c r="A45" s="11" t="s">
        <v>45</v>
      </c>
      <c r="B45" s="12" t="s">
        <v>327</v>
      </c>
      <c r="C45" s="1" t="s">
        <v>300</v>
      </c>
      <c r="D45" s="1">
        <v>2024</v>
      </c>
      <c r="E45" s="1" t="s">
        <v>784</v>
      </c>
      <c r="F45">
        <v>4360</v>
      </c>
      <c r="G45">
        <v>1830</v>
      </c>
      <c r="H45">
        <v>1570</v>
      </c>
      <c r="I45">
        <v>310</v>
      </c>
      <c r="J45" s="11">
        <v>1645</v>
      </c>
      <c r="K45" s="12">
        <v>2130</v>
      </c>
      <c r="L45" s="13">
        <v>42190</v>
      </c>
      <c r="M45" s="25">
        <v>112</v>
      </c>
      <c r="N45" s="23">
        <v>120</v>
      </c>
      <c r="O45" s="20">
        <v>164</v>
      </c>
      <c r="P45" s="25">
        <v>190</v>
      </c>
      <c r="Q45" s="23">
        <v>208</v>
      </c>
      <c r="R45" s="20">
        <v>206</v>
      </c>
      <c r="S45" s="11">
        <v>0.8</v>
      </c>
      <c r="T45" s="29">
        <v>3.8</v>
      </c>
      <c r="U45" s="12">
        <v>16</v>
      </c>
      <c r="V45" s="11">
        <v>66</v>
      </c>
      <c r="W45" s="23">
        <f t="shared" si="0"/>
        <v>1131.578947368421</v>
      </c>
      <c r="X45" s="20">
        <f t="shared" si="1"/>
        <v>1197.578947368421</v>
      </c>
      <c r="Y45" s="13">
        <v>43</v>
      </c>
    </row>
    <row r="46" spans="1:25" x14ac:dyDescent="0.35">
      <c r="A46" s="11" t="s">
        <v>328</v>
      </c>
      <c r="B46" s="12" t="s">
        <v>329</v>
      </c>
      <c r="C46" s="1" t="s">
        <v>300</v>
      </c>
      <c r="D46" s="1">
        <v>2019</v>
      </c>
      <c r="E46" s="1" t="s">
        <v>784</v>
      </c>
      <c r="F46">
        <v>4371</v>
      </c>
      <c r="G46">
        <v>1904</v>
      </c>
      <c r="H46">
        <v>1649</v>
      </c>
      <c r="I46">
        <v>472</v>
      </c>
      <c r="J46" s="11">
        <f>2157-75</f>
        <v>2082</v>
      </c>
      <c r="K46" s="12">
        <v>2660</v>
      </c>
      <c r="L46" s="13">
        <v>62300</v>
      </c>
      <c r="M46" s="25"/>
      <c r="N46" s="23">
        <v>80</v>
      </c>
      <c r="O46" s="20">
        <v>198</v>
      </c>
      <c r="P46" s="25"/>
      <c r="Q46" s="23">
        <v>260</v>
      </c>
      <c r="R46" s="20">
        <v>540</v>
      </c>
      <c r="S46" s="11">
        <v>1.4</v>
      </c>
      <c r="T46" s="29">
        <v>7.3</v>
      </c>
      <c r="U46" s="12">
        <v>20.8</v>
      </c>
      <c r="V46" s="11">
        <v>60</v>
      </c>
      <c r="W46" s="23">
        <f t="shared" si="0"/>
        <v>773.97260273972609</v>
      </c>
      <c r="X46" s="20">
        <f t="shared" si="1"/>
        <v>833.97260273972609</v>
      </c>
      <c r="Y46" s="13">
        <v>56.5</v>
      </c>
    </row>
    <row r="47" spans="1:25" x14ac:dyDescent="0.35">
      <c r="A47" s="11" t="s">
        <v>284</v>
      </c>
      <c r="B47" s="12" t="s">
        <v>337</v>
      </c>
      <c r="C47" s="1" t="s">
        <v>300</v>
      </c>
      <c r="D47" s="1">
        <v>2021</v>
      </c>
      <c r="E47" s="1" t="s">
        <v>784</v>
      </c>
      <c r="F47">
        <v>4395</v>
      </c>
      <c r="G47">
        <v>1820</v>
      </c>
      <c r="H47">
        <v>1640</v>
      </c>
      <c r="I47">
        <v>420</v>
      </c>
      <c r="J47" s="11">
        <f>1935-75</f>
        <v>1860</v>
      </c>
      <c r="K47" s="12">
        <v>2400</v>
      </c>
      <c r="L47" s="13">
        <v>47600</v>
      </c>
      <c r="M47" s="11">
        <v>132</v>
      </c>
      <c r="N47" s="18">
        <v>44</v>
      </c>
      <c r="O47" s="20">
        <v>176</v>
      </c>
      <c r="P47" s="25">
        <v>270</v>
      </c>
      <c r="Q47" s="23">
        <v>250</v>
      </c>
      <c r="R47" s="20">
        <v>270</v>
      </c>
      <c r="S47" s="11">
        <v>2.2000000000000002</v>
      </c>
      <c r="T47" s="27">
        <v>7.8</v>
      </c>
      <c r="U47" s="26">
        <v>16.600000000000001</v>
      </c>
      <c r="V47" s="11">
        <v>42</v>
      </c>
      <c r="W47" s="23">
        <f t="shared" si="0"/>
        <v>461.5384615384616</v>
      </c>
      <c r="X47" s="20">
        <f t="shared" si="1"/>
        <v>503.5384615384616</v>
      </c>
      <c r="Y47" s="13">
        <v>36</v>
      </c>
    </row>
    <row r="48" spans="1:25" x14ac:dyDescent="0.35">
      <c r="A48" s="11" t="s">
        <v>78</v>
      </c>
      <c r="B48" s="12" t="s">
        <v>338</v>
      </c>
      <c r="C48" s="1" t="s">
        <v>300</v>
      </c>
      <c r="D48" s="1">
        <v>2021</v>
      </c>
      <c r="E48" s="1" t="s">
        <v>784</v>
      </c>
      <c r="F48">
        <v>4395</v>
      </c>
      <c r="G48">
        <v>1900</v>
      </c>
      <c r="H48">
        <v>1648</v>
      </c>
      <c r="I48">
        <v>394</v>
      </c>
      <c r="J48" s="11">
        <f>2173-75</f>
        <v>2098</v>
      </c>
      <c r="K48" s="12">
        <v>2670</v>
      </c>
      <c r="L48" s="13">
        <v>62700</v>
      </c>
      <c r="M48" s="11">
        <v>184</v>
      </c>
      <c r="N48" s="18">
        <v>80</v>
      </c>
      <c r="O48" s="12">
        <v>198</v>
      </c>
      <c r="P48" s="11"/>
      <c r="Q48" s="18">
        <v>260</v>
      </c>
      <c r="R48" s="12">
        <v>540</v>
      </c>
      <c r="S48" s="11">
        <v>1.4</v>
      </c>
      <c r="T48">
        <v>8.8000000000000007</v>
      </c>
      <c r="U48" s="12">
        <v>20.8</v>
      </c>
      <c r="V48" s="11">
        <v>59</v>
      </c>
      <c r="W48" s="23">
        <f t="shared" si="0"/>
        <v>642.0454545454545</v>
      </c>
      <c r="X48" s="20">
        <f t="shared" si="1"/>
        <v>701.0454545454545</v>
      </c>
      <c r="Y48" s="13">
        <v>56.5</v>
      </c>
    </row>
    <row r="49" spans="1:25" x14ac:dyDescent="0.35">
      <c r="A49" s="11" t="s">
        <v>81</v>
      </c>
      <c r="B49" s="12" t="s">
        <v>345</v>
      </c>
      <c r="C49" s="1" t="s">
        <v>300</v>
      </c>
      <c r="D49" s="1">
        <v>2020</v>
      </c>
      <c r="E49" s="1" t="s">
        <v>784</v>
      </c>
      <c r="F49">
        <v>4410</v>
      </c>
      <c r="G49">
        <v>1834</v>
      </c>
      <c r="H49">
        <v>1616</v>
      </c>
      <c r="I49">
        <v>385</v>
      </c>
      <c r="J49" s="11">
        <f>1810-75</f>
        <v>1735</v>
      </c>
      <c r="K49" s="12">
        <v>2310</v>
      </c>
      <c r="L49" s="13">
        <v>55977</v>
      </c>
      <c r="M49" s="11">
        <v>120</v>
      </c>
      <c r="N49" s="18">
        <v>80</v>
      </c>
      <c r="O49" s="12">
        <v>160</v>
      </c>
      <c r="P49" s="11">
        <v>270</v>
      </c>
      <c r="Q49" s="18">
        <v>300</v>
      </c>
      <c r="R49" s="12">
        <v>450</v>
      </c>
      <c r="S49" s="11">
        <v>1</v>
      </c>
      <c r="T49">
        <v>6.1</v>
      </c>
      <c r="U49" s="12">
        <v>19.3</v>
      </c>
      <c r="V49" s="11">
        <v>74</v>
      </c>
      <c r="W49" s="23">
        <f t="shared" si="0"/>
        <v>573.77049180327879</v>
      </c>
      <c r="X49" s="20">
        <f t="shared" si="1"/>
        <v>647.77049180327879</v>
      </c>
      <c r="Y49" s="13">
        <v>35</v>
      </c>
    </row>
    <row r="50" spans="1:25" x14ac:dyDescent="0.35">
      <c r="A50" s="11" t="s">
        <v>24</v>
      </c>
      <c r="B50" s="12" t="s">
        <v>347</v>
      </c>
      <c r="C50" s="1" t="s">
        <v>300</v>
      </c>
      <c r="D50" s="1">
        <v>2022</v>
      </c>
      <c r="E50" s="1" t="s">
        <v>784</v>
      </c>
      <c r="F50">
        <v>4420</v>
      </c>
      <c r="G50">
        <v>1825</v>
      </c>
      <c r="H50">
        <v>1570</v>
      </c>
      <c r="I50">
        <v>348</v>
      </c>
      <c r="J50" s="11">
        <f>1594-75</f>
        <v>1519</v>
      </c>
      <c r="K50" s="12">
        <v>2060</v>
      </c>
      <c r="L50" s="13">
        <v>40616</v>
      </c>
      <c r="M50" s="25">
        <v>77</v>
      </c>
      <c r="N50" s="23">
        <f>(11+83)/1.36</f>
        <v>69.117647058823522</v>
      </c>
      <c r="O50" s="20">
        <f>180/1.36</f>
        <v>132.35294117647058</v>
      </c>
      <c r="P50" s="25">
        <v>143</v>
      </c>
      <c r="Q50" s="23">
        <v>240</v>
      </c>
      <c r="R50" s="20">
        <v>265</v>
      </c>
      <c r="S50" s="11">
        <v>0.8</v>
      </c>
      <c r="T50">
        <v>5.8</v>
      </c>
      <c r="U50" s="12">
        <v>13</v>
      </c>
      <c r="V50" s="11">
        <v>52</v>
      </c>
      <c r="W50" s="23">
        <f t="shared" si="0"/>
        <v>637.93103448275861</v>
      </c>
      <c r="X50" s="20">
        <f t="shared" si="1"/>
        <v>689.93103448275861</v>
      </c>
      <c r="Y50" s="13">
        <v>37</v>
      </c>
    </row>
    <row r="51" spans="1:25" x14ac:dyDescent="0.35">
      <c r="A51" s="11" t="s">
        <v>27</v>
      </c>
      <c r="B51" s="12" t="s">
        <v>354</v>
      </c>
      <c r="C51" s="1" t="s">
        <v>300</v>
      </c>
      <c r="D51" s="1">
        <v>2024</v>
      </c>
      <c r="E51" s="1" t="s">
        <v>784</v>
      </c>
      <c r="F51">
        <v>4451</v>
      </c>
      <c r="G51">
        <v>1839</v>
      </c>
      <c r="H51">
        <v>1520</v>
      </c>
      <c r="I51">
        <v>345</v>
      </c>
      <c r="J51" s="11">
        <f>1823-75</f>
        <v>1748</v>
      </c>
      <c r="K51" s="12">
        <v>2190</v>
      </c>
      <c r="L51" s="13">
        <v>46710</v>
      </c>
      <c r="M51" s="11">
        <v>110</v>
      </c>
      <c r="N51" s="18">
        <v>85</v>
      </c>
      <c r="O51" s="12">
        <v>150</v>
      </c>
      <c r="P51" s="11">
        <v>250</v>
      </c>
      <c r="Q51" s="18">
        <v>330</v>
      </c>
      <c r="R51" s="12">
        <v>350</v>
      </c>
      <c r="S51" s="11">
        <v>1.2</v>
      </c>
      <c r="T51">
        <v>6.8</v>
      </c>
      <c r="U51" s="12">
        <v>18.5</v>
      </c>
      <c r="V51" s="11">
        <v>115</v>
      </c>
      <c r="W51" s="23">
        <f t="shared" si="0"/>
        <v>588.23529411764707</v>
      </c>
      <c r="X51" s="20">
        <f t="shared" si="1"/>
        <v>703.23529411764707</v>
      </c>
      <c r="Y51" s="13">
        <v>40</v>
      </c>
    </row>
    <row r="52" spans="1:25" x14ac:dyDescent="0.35">
      <c r="A52" s="11" t="s">
        <v>29</v>
      </c>
      <c r="B52" s="12" t="s">
        <v>366</v>
      </c>
      <c r="C52" s="1" t="s">
        <v>300</v>
      </c>
      <c r="D52" s="1">
        <v>2021</v>
      </c>
      <c r="E52" s="1" t="s">
        <v>784</v>
      </c>
      <c r="F52">
        <v>4500</v>
      </c>
      <c r="G52">
        <v>1865</v>
      </c>
      <c r="H52">
        <v>1650</v>
      </c>
      <c r="I52">
        <v>558</v>
      </c>
      <c r="J52" s="11">
        <v>1750</v>
      </c>
      <c r="K52" s="12">
        <v>2350</v>
      </c>
      <c r="L52" s="13">
        <v>42975</v>
      </c>
      <c r="M52" s="11">
        <v>117.6</v>
      </c>
      <c r="N52" s="18">
        <v>72</v>
      </c>
      <c r="O52" s="12">
        <v>185</v>
      </c>
      <c r="P52" s="11">
        <v>265</v>
      </c>
      <c r="Q52" s="18">
        <v>304</v>
      </c>
      <c r="R52" s="12">
        <v>304</v>
      </c>
      <c r="S52" s="11">
        <v>1</v>
      </c>
      <c r="T52">
        <v>6.2</v>
      </c>
      <c r="U52" s="12"/>
      <c r="V52" s="11">
        <v>71</v>
      </c>
      <c r="W52" s="23">
        <f t="shared" si="0"/>
        <v>677.41935483870975</v>
      </c>
      <c r="X52" s="20">
        <f t="shared" si="1"/>
        <v>748.41935483870975</v>
      </c>
      <c r="Y52" s="13">
        <v>42</v>
      </c>
    </row>
    <row r="53" spans="1:25" x14ac:dyDescent="0.35">
      <c r="A53" s="11" t="s">
        <v>24</v>
      </c>
      <c r="B53" s="12" t="s">
        <v>371</v>
      </c>
      <c r="C53" s="1" t="s">
        <v>367</v>
      </c>
      <c r="D53" s="1">
        <v>2022</v>
      </c>
      <c r="E53" s="1" t="s">
        <v>784</v>
      </c>
      <c r="F53">
        <v>4515</v>
      </c>
      <c r="G53">
        <v>1865</v>
      </c>
      <c r="H53">
        <v>1645</v>
      </c>
      <c r="I53">
        <v>540</v>
      </c>
      <c r="J53" s="11">
        <f>1905-75</f>
        <v>1830</v>
      </c>
      <c r="K53" s="12">
        <v>2415</v>
      </c>
      <c r="L53" s="13">
        <v>45870</v>
      </c>
      <c r="M53" s="25">
        <v>117.6</v>
      </c>
      <c r="N53" s="23">
        <v>67</v>
      </c>
      <c r="O53" s="20">
        <f>265/1.36</f>
        <v>194.85294117647058</v>
      </c>
      <c r="P53" s="25">
        <v>265</v>
      </c>
      <c r="Q53" s="23">
        <v>304</v>
      </c>
      <c r="R53" s="20">
        <v>350</v>
      </c>
      <c r="S53" s="11">
        <v>1.1000000000000001</v>
      </c>
      <c r="T53">
        <v>6.5</v>
      </c>
      <c r="U53" s="12">
        <v>18.5</v>
      </c>
      <c r="V53" s="11">
        <v>64</v>
      </c>
      <c r="W53" s="23">
        <f t="shared" si="0"/>
        <v>646.15384615384619</v>
      </c>
      <c r="X53" s="20">
        <f t="shared" si="1"/>
        <v>710.15384615384619</v>
      </c>
      <c r="Y53" s="13">
        <v>42</v>
      </c>
    </row>
    <row r="54" spans="1:25" x14ac:dyDescent="0.35">
      <c r="A54" s="11" t="s">
        <v>27</v>
      </c>
      <c r="B54" s="12" t="s">
        <v>372</v>
      </c>
      <c r="C54" s="1" t="s">
        <v>367</v>
      </c>
      <c r="D54" s="1">
        <v>2025</v>
      </c>
      <c r="E54" s="1" t="s">
        <v>784</v>
      </c>
      <c r="F54">
        <v>4519</v>
      </c>
      <c r="G54">
        <v>1869</v>
      </c>
      <c r="H54">
        <v>1586</v>
      </c>
      <c r="I54">
        <v>450</v>
      </c>
      <c r="J54" s="11">
        <f>1898-75</f>
        <v>1823</v>
      </c>
      <c r="K54" s="12">
        <v>2410</v>
      </c>
      <c r="L54" s="13">
        <v>45950</v>
      </c>
      <c r="M54" s="11">
        <v>110</v>
      </c>
      <c r="N54" s="18">
        <v>85</v>
      </c>
      <c r="O54" s="12">
        <v>150</v>
      </c>
      <c r="P54" s="11">
        <v>250</v>
      </c>
      <c r="Q54" s="18">
        <v>330</v>
      </c>
      <c r="R54" s="12">
        <v>350</v>
      </c>
      <c r="S54" s="11">
        <v>0.5</v>
      </c>
      <c r="T54">
        <v>5.8</v>
      </c>
      <c r="U54" s="12">
        <v>17.600000000000001</v>
      </c>
      <c r="V54" s="11">
        <v>122</v>
      </c>
      <c r="W54" s="23">
        <f t="shared" si="0"/>
        <v>775.86206896551721</v>
      </c>
      <c r="X54" s="20">
        <f t="shared" si="1"/>
        <v>897.86206896551721</v>
      </c>
      <c r="Y54" s="13">
        <v>45</v>
      </c>
    </row>
    <row r="55" spans="1:25" x14ac:dyDescent="0.35">
      <c r="A55" s="11" t="s">
        <v>75</v>
      </c>
      <c r="B55" s="12" t="s">
        <v>373</v>
      </c>
      <c r="C55" s="1" t="s">
        <v>367</v>
      </c>
      <c r="D55" s="1">
        <v>2022</v>
      </c>
      <c r="E55" s="1" t="s">
        <v>784</v>
      </c>
      <c r="F55">
        <v>4530</v>
      </c>
      <c r="G55">
        <v>1840</v>
      </c>
      <c r="H55">
        <v>1600</v>
      </c>
      <c r="I55">
        <v>500</v>
      </c>
      <c r="J55" s="11">
        <v>1910</v>
      </c>
      <c r="K55" s="12">
        <f>J55+485</f>
        <v>2395</v>
      </c>
      <c r="L55" s="13">
        <v>52700</v>
      </c>
      <c r="M55" s="11">
        <v>132</v>
      </c>
      <c r="N55" s="18">
        <v>94</v>
      </c>
      <c r="O55" s="12">
        <v>165</v>
      </c>
      <c r="P55" s="11">
        <v>270</v>
      </c>
      <c r="Q55" s="18">
        <v>118</v>
      </c>
      <c r="R55" s="12">
        <v>360</v>
      </c>
      <c r="S55" s="11">
        <v>1.3</v>
      </c>
      <c r="T55">
        <v>6.8</v>
      </c>
      <c r="U55" s="12">
        <v>18.600000000000001</v>
      </c>
      <c r="V55" s="11">
        <v>61</v>
      </c>
      <c r="W55" s="23">
        <f t="shared" si="0"/>
        <v>625</v>
      </c>
      <c r="X55" s="20">
        <f t="shared" si="1"/>
        <v>686</v>
      </c>
      <c r="Y55" s="13">
        <v>42.5</v>
      </c>
    </row>
    <row r="56" spans="1:25" x14ac:dyDescent="0.35">
      <c r="A56" s="11" t="s">
        <v>119</v>
      </c>
      <c r="B56" s="12" t="s">
        <v>595</v>
      </c>
      <c r="C56" s="1" t="s">
        <v>367</v>
      </c>
      <c r="D56" s="1">
        <v>2024</v>
      </c>
      <c r="E56" s="1" t="s">
        <v>784</v>
      </c>
      <c r="F56">
        <v>4539</v>
      </c>
      <c r="G56">
        <v>1842</v>
      </c>
      <c r="H56">
        <v>1660</v>
      </c>
      <c r="I56">
        <v>550</v>
      </c>
      <c r="J56" s="11">
        <v>1866</v>
      </c>
      <c r="K56" s="12">
        <v>2410</v>
      </c>
      <c r="L56" s="13">
        <v>48451</v>
      </c>
      <c r="M56" s="11">
        <v>110</v>
      </c>
      <c r="N56" s="18">
        <v>85</v>
      </c>
      <c r="O56" s="12">
        <v>150</v>
      </c>
      <c r="P56" s="11">
        <v>250</v>
      </c>
      <c r="Q56" s="18">
        <v>350</v>
      </c>
      <c r="R56" s="12">
        <v>350</v>
      </c>
      <c r="S56" s="11">
        <v>0.4</v>
      </c>
      <c r="T56">
        <v>5.5</v>
      </c>
      <c r="U56" s="12">
        <v>17.2</v>
      </c>
      <c r="V56" s="11">
        <v>125</v>
      </c>
      <c r="W56" s="23">
        <f t="shared" si="0"/>
        <v>818.18181818181813</v>
      </c>
      <c r="X56" s="20">
        <f t="shared" si="1"/>
        <v>943.18181818181813</v>
      </c>
      <c r="Y56" s="13">
        <v>45</v>
      </c>
    </row>
    <row r="57" spans="1:25" x14ac:dyDescent="0.35">
      <c r="A57" s="11" t="s">
        <v>376</v>
      </c>
      <c r="B57" s="14" t="s">
        <v>377</v>
      </c>
      <c r="C57" s="1" t="s">
        <v>367</v>
      </c>
      <c r="D57" s="1">
        <v>2021</v>
      </c>
      <c r="E57" s="1" t="s">
        <v>784</v>
      </c>
      <c r="F57">
        <v>4541</v>
      </c>
      <c r="G57">
        <v>1857</v>
      </c>
      <c r="H57">
        <v>1694</v>
      </c>
      <c r="I57">
        <v>466</v>
      </c>
      <c r="J57" s="11">
        <v>1879</v>
      </c>
      <c r="K57" s="12">
        <v>2350</v>
      </c>
      <c r="L57" s="13">
        <v>40995</v>
      </c>
      <c r="M57" s="11">
        <v>132</v>
      </c>
      <c r="N57" s="18">
        <v>60</v>
      </c>
      <c r="O57" s="20">
        <f>261/1.36</f>
        <v>191.91176470588235</v>
      </c>
      <c r="P57" s="11">
        <v>265</v>
      </c>
      <c r="Q57" s="18">
        <v>160</v>
      </c>
      <c r="R57" s="12">
        <f>160+265</f>
        <v>425</v>
      </c>
      <c r="S57" s="11">
        <v>1</v>
      </c>
      <c r="T57">
        <v>5.68</v>
      </c>
      <c r="U57" s="12">
        <v>13.2</v>
      </c>
      <c r="V57" s="11">
        <v>66</v>
      </c>
      <c r="W57" s="23">
        <f t="shared" si="0"/>
        <v>739.43661971830988</v>
      </c>
      <c r="X57" s="20">
        <f t="shared" si="1"/>
        <v>805.43661971830988</v>
      </c>
      <c r="Y57" s="13">
        <v>42</v>
      </c>
    </row>
    <row r="58" spans="1:25" x14ac:dyDescent="0.35">
      <c r="A58" s="11" t="s">
        <v>40</v>
      </c>
      <c r="B58" s="14" t="s">
        <v>383</v>
      </c>
      <c r="C58" s="1" t="s">
        <v>367</v>
      </c>
      <c r="D58" s="1">
        <v>2024</v>
      </c>
      <c r="E58" s="1" t="s">
        <v>784</v>
      </c>
      <c r="F58">
        <v>4542</v>
      </c>
      <c r="G58">
        <v>1895</v>
      </c>
      <c r="H58">
        <v>1641</v>
      </c>
      <c r="I58">
        <v>520</v>
      </c>
      <c r="J58" s="11">
        <v>1905</v>
      </c>
      <c r="K58" s="12">
        <v>2420</v>
      </c>
      <c r="L58" s="13">
        <v>44160</v>
      </c>
      <c r="M58" s="11">
        <v>110</v>
      </c>
      <c r="N58" s="18">
        <v>92</v>
      </c>
      <c r="O58" s="12">
        <v>143.5</v>
      </c>
      <c r="P58" s="11">
        <v>300</v>
      </c>
      <c r="Q58" s="18">
        <v>118</v>
      </c>
      <c r="R58" s="12">
        <v>300</v>
      </c>
      <c r="S58" s="11">
        <v>1.3</v>
      </c>
      <c r="T58">
        <v>6</v>
      </c>
      <c r="U58" s="12">
        <v>17.100000000000001</v>
      </c>
      <c r="V58" s="11">
        <v>82</v>
      </c>
      <c r="W58" s="23">
        <f t="shared" si="0"/>
        <v>916.66666666666663</v>
      </c>
      <c r="X58" s="20">
        <f t="shared" si="1"/>
        <v>998.66666666666663</v>
      </c>
      <c r="Y58" s="13">
        <v>55</v>
      </c>
    </row>
    <row r="59" spans="1:25" x14ac:dyDescent="0.35">
      <c r="A59" s="11" t="s">
        <v>170</v>
      </c>
      <c r="B59" s="12" t="s">
        <v>384</v>
      </c>
      <c r="C59" s="1" t="s">
        <v>367</v>
      </c>
      <c r="D59" s="1">
        <v>2021</v>
      </c>
      <c r="E59" s="1" t="s">
        <v>784</v>
      </c>
      <c r="F59">
        <v>4545</v>
      </c>
      <c r="G59">
        <v>1805</v>
      </c>
      <c r="H59">
        <v>1685</v>
      </c>
      <c r="I59">
        <v>404</v>
      </c>
      <c r="J59" s="11">
        <v>1910</v>
      </c>
      <c r="K59" s="12">
        <v>2425</v>
      </c>
      <c r="L59" s="13">
        <f>32300+12500</f>
        <v>44800</v>
      </c>
      <c r="M59" s="11">
        <v>72</v>
      </c>
      <c r="N59" s="18">
        <f>60+70</f>
        <v>130</v>
      </c>
      <c r="O59" s="12">
        <v>138</v>
      </c>
      <c r="P59" s="11">
        <v>193</v>
      </c>
      <c r="Q59" s="18">
        <f>137+195</f>
        <v>332</v>
      </c>
      <c r="R59" s="12">
        <v>295</v>
      </c>
      <c r="S59" s="11">
        <v>1.8</v>
      </c>
      <c r="T59">
        <v>6.1</v>
      </c>
      <c r="U59" s="12">
        <v>24.2</v>
      </c>
      <c r="V59" s="11">
        <v>45</v>
      </c>
      <c r="W59" s="23">
        <f t="shared" si="0"/>
        <v>704.91803278688531</v>
      </c>
      <c r="X59" s="20">
        <f t="shared" si="1"/>
        <v>749.91803278688531</v>
      </c>
      <c r="Y59" s="13">
        <v>43</v>
      </c>
    </row>
    <row r="60" spans="1:25" x14ac:dyDescent="0.35">
      <c r="A60" s="11" t="s">
        <v>53</v>
      </c>
      <c r="B60" s="12" t="s">
        <v>394</v>
      </c>
      <c r="C60" s="1" t="s">
        <v>367</v>
      </c>
      <c r="D60" s="1">
        <v>2023</v>
      </c>
      <c r="E60" s="1" t="s">
        <v>784</v>
      </c>
      <c r="F60">
        <v>4595</v>
      </c>
      <c r="G60">
        <v>1895</v>
      </c>
      <c r="H60">
        <v>1631</v>
      </c>
      <c r="I60">
        <v>555</v>
      </c>
      <c r="J60" s="11">
        <v>1760</v>
      </c>
      <c r="K60" s="12">
        <v>2325</v>
      </c>
      <c r="L60" s="13">
        <v>52657</v>
      </c>
      <c r="M60" s="11">
        <v>133</v>
      </c>
      <c r="N60" s="18">
        <v>81.2</v>
      </c>
      <c r="O60" s="12">
        <v>165</v>
      </c>
      <c r="P60" s="11">
        <v>300</v>
      </c>
      <c r="Q60" s="18">
        <v>320</v>
      </c>
      <c r="R60" s="12">
        <v>360</v>
      </c>
      <c r="S60" s="11">
        <v>1.3</v>
      </c>
      <c r="T60">
        <v>5.5</v>
      </c>
      <c r="U60" s="12">
        <v>17.7</v>
      </c>
      <c r="V60" s="11">
        <v>64</v>
      </c>
      <c r="W60" s="23">
        <f t="shared" si="0"/>
        <v>781.81818181818187</v>
      </c>
      <c r="X60" s="20">
        <f t="shared" si="1"/>
        <v>845.81818181818187</v>
      </c>
      <c r="Y60" s="13">
        <v>43</v>
      </c>
    </row>
    <row r="61" spans="1:25" x14ac:dyDescent="0.35">
      <c r="A61" s="11" t="s">
        <v>328</v>
      </c>
      <c r="B61" s="12" t="s">
        <v>396</v>
      </c>
      <c r="C61" s="1" t="s">
        <v>367</v>
      </c>
      <c r="D61" s="1">
        <v>2017</v>
      </c>
      <c r="E61" s="1" t="s">
        <v>784</v>
      </c>
      <c r="F61">
        <v>4597</v>
      </c>
      <c r="G61">
        <v>1920</v>
      </c>
      <c r="H61">
        <v>1727</v>
      </c>
      <c r="I61">
        <v>541</v>
      </c>
      <c r="J61" s="11">
        <v>2093</v>
      </c>
      <c r="K61" s="12">
        <v>2750</v>
      </c>
      <c r="L61" s="13">
        <v>60650</v>
      </c>
      <c r="M61" s="25"/>
      <c r="N61" s="23">
        <v>80</v>
      </c>
      <c r="O61" s="20">
        <v>198</v>
      </c>
      <c r="P61" s="25"/>
      <c r="Q61" s="23">
        <v>260</v>
      </c>
      <c r="R61" s="20">
        <v>540</v>
      </c>
      <c r="S61" s="11">
        <v>1.7</v>
      </c>
      <c r="T61" s="29">
        <v>7.4</v>
      </c>
      <c r="U61" s="12">
        <v>19.7</v>
      </c>
      <c r="V61" s="11">
        <v>60</v>
      </c>
      <c r="W61" s="23">
        <f t="shared" si="0"/>
        <v>783.78378378378375</v>
      </c>
      <c r="X61" s="20">
        <f t="shared" si="1"/>
        <v>843.78378378378375</v>
      </c>
      <c r="Y61" s="13">
        <v>58</v>
      </c>
    </row>
    <row r="62" spans="1:25" x14ac:dyDescent="0.35">
      <c r="A62" s="11" t="s">
        <v>45</v>
      </c>
      <c r="B62" s="12" t="s">
        <v>398</v>
      </c>
      <c r="C62" s="1" t="s">
        <v>367</v>
      </c>
      <c r="D62" s="1">
        <v>2019</v>
      </c>
      <c r="E62" s="1" t="s">
        <v>784</v>
      </c>
      <c r="F62">
        <v>4600</v>
      </c>
      <c r="G62">
        <v>1855</v>
      </c>
      <c r="H62">
        <v>1685</v>
      </c>
      <c r="I62">
        <v>520</v>
      </c>
      <c r="J62" s="11">
        <v>1930</v>
      </c>
      <c r="K62" s="12">
        <v>2510</v>
      </c>
      <c r="L62" s="13">
        <v>45000</v>
      </c>
      <c r="M62" s="25">
        <v>136</v>
      </c>
      <c r="N62" s="23">
        <f>134+40</f>
        <v>174</v>
      </c>
      <c r="O62" s="20">
        <v>225</v>
      </c>
      <c r="P62" s="25">
        <v>227</v>
      </c>
      <c r="Q62" s="23">
        <f>270+121</f>
        <v>391</v>
      </c>
      <c r="R62" s="20">
        <f>270+120</f>
        <v>390</v>
      </c>
      <c r="S62" s="11">
        <v>1</v>
      </c>
      <c r="T62" s="29">
        <v>4.5</v>
      </c>
      <c r="U62" s="12">
        <v>19</v>
      </c>
      <c r="V62" s="11">
        <v>74</v>
      </c>
      <c r="W62" s="23">
        <f t="shared" si="0"/>
        <v>1222.2222222222222</v>
      </c>
      <c r="X62" s="20">
        <f t="shared" si="1"/>
        <v>1296.2222222222222</v>
      </c>
      <c r="Y62" s="13">
        <v>55</v>
      </c>
    </row>
    <row r="63" spans="1:25" x14ac:dyDescent="0.35">
      <c r="A63" s="11" t="s">
        <v>49</v>
      </c>
      <c r="B63" s="12" t="s">
        <v>399</v>
      </c>
      <c r="C63" s="1" t="s">
        <v>367</v>
      </c>
      <c r="D63" s="1">
        <v>2024</v>
      </c>
      <c r="E63" s="1" t="s">
        <v>784</v>
      </c>
      <c r="F63">
        <v>4604</v>
      </c>
      <c r="G63">
        <v>1882</v>
      </c>
      <c r="H63">
        <v>1679</v>
      </c>
      <c r="I63">
        <v>482</v>
      </c>
      <c r="J63" s="11">
        <f>1859-75</f>
        <v>1784</v>
      </c>
      <c r="K63" s="12">
        <v>2400</v>
      </c>
      <c r="L63" s="13">
        <v>44124</v>
      </c>
      <c r="M63" s="11">
        <v>120</v>
      </c>
      <c r="N63" s="18">
        <v>97</v>
      </c>
      <c r="O63" s="12">
        <v>178</v>
      </c>
      <c r="P63" s="11">
        <v>207</v>
      </c>
      <c r="Q63" s="18">
        <v>230</v>
      </c>
      <c r="R63" s="12">
        <v>260</v>
      </c>
      <c r="S63" s="11">
        <v>0.9</v>
      </c>
      <c r="T63">
        <v>5.9</v>
      </c>
      <c r="U63" s="12">
        <v>17.5</v>
      </c>
      <c r="V63" s="11">
        <v>68</v>
      </c>
      <c r="W63" s="23">
        <f t="shared" ref="W63:W91" si="2">IF(NOT(ISBLANK(T63)),Y63/T63*100,"")</f>
        <v>711.86440677966095</v>
      </c>
      <c r="X63" s="20">
        <f t="shared" ref="X63:X91" si="3">IF(NOT(ISBLANK(T63)),V63+W63,"")</f>
        <v>779.86440677966095</v>
      </c>
      <c r="Y63" s="13">
        <v>42</v>
      </c>
    </row>
    <row r="64" spans="1:25" x14ac:dyDescent="0.35">
      <c r="A64" s="11" t="s">
        <v>10</v>
      </c>
      <c r="B64" s="12" t="s">
        <v>400</v>
      </c>
      <c r="C64" s="1" t="s">
        <v>367</v>
      </c>
      <c r="D64" s="1">
        <v>2024</v>
      </c>
      <c r="E64" s="1" t="s">
        <v>784</v>
      </c>
      <c r="F64">
        <v>4610</v>
      </c>
      <c r="G64">
        <v>1876</v>
      </c>
      <c r="H64">
        <v>1685</v>
      </c>
      <c r="I64">
        <v>448</v>
      </c>
      <c r="J64" s="11">
        <f>1830-75</f>
        <v>1755</v>
      </c>
      <c r="K64" s="12">
        <v>2305</v>
      </c>
      <c r="L64" s="13">
        <v>36990</v>
      </c>
      <c r="M64" s="11">
        <v>105</v>
      </c>
      <c r="N64" s="18">
        <v>135</v>
      </c>
      <c r="O64" s="12">
        <v>200</v>
      </c>
      <c r="P64" s="11">
        <v>230</v>
      </c>
      <c r="Q64" s="18">
        <v>340</v>
      </c>
      <c r="R64" s="12">
        <v>350</v>
      </c>
      <c r="S64" s="11">
        <v>0.54</v>
      </c>
      <c r="T64">
        <v>6.9</v>
      </c>
      <c r="U64" s="12">
        <v>21.8</v>
      </c>
      <c r="V64" s="11">
        <v>51</v>
      </c>
      <c r="W64" s="23">
        <f t="shared" si="2"/>
        <v>797.10144927536226</v>
      </c>
      <c r="X64" s="20">
        <f t="shared" si="3"/>
        <v>848.10144927536226</v>
      </c>
      <c r="Y64" s="13">
        <v>55</v>
      </c>
    </row>
    <row r="65" spans="1:25" x14ac:dyDescent="0.35">
      <c r="A65" s="11" t="s">
        <v>172</v>
      </c>
      <c r="B65" s="12" t="s">
        <v>402</v>
      </c>
      <c r="C65" s="1" t="s">
        <v>367</v>
      </c>
      <c r="D65" s="1">
        <v>2020</v>
      </c>
      <c r="E65" s="1" t="s">
        <v>784</v>
      </c>
      <c r="F65">
        <v>4635</v>
      </c>
      <c r="G65">
        <v>1855</v>
      </c>
      <c r="H65">
        <v>1690</v>
      </c>
      <c r="I65">
        <v>490</v>
      </c>
      <c r="J65" s="11">
        <f>2000-75</f>
        <v>1925</v>
      </c>
      <c r="K65" s="12">
        <v>2510</v>
      </c>
      <c r="L65" s="13">
        <v>55480</v>
      </c>
      <c r="M65" s="11">
        <v>136</v>
      </c>
      <c r="N65" s="18">
        <f>134+40</f>
        <v>174</v>
      </c>
      <c r="O65" s="12">
        <f>306/1.36</f>
        <v>224.99999999999997</v>
      </c>
      <c r="P65" s="11">
        <v>227</v>
      </c>
      <c r="Q65" s="18">
        <f>270+121</f>
        <v>391</v>
      </c>
      <c r="R65" s="12">
        <v>400</v>
      </c>
      <c r="S65" s="11">
        <v>1</v>
      </c>
      <c r="T65">
        <v>6.6</v>
      </c>
      <c r="U65" s="12">
        <v>17.100000000000001</v>
      </c>
      <c r="V65" s="11">
        <v>75</v>
      </c>
      <c r="W65" s="23">
        <f t="shared" si="2"/>
        <v>833.33333333333337</v>
      </c>
      <c r="X65" s="20">
        <f t="shared" si="3"/>
        <v>908.33333333333337</v>
      </c>
      <c r="Y65" s="13">
        <v>55</v>
      </c>
    </row>
    <row r="66" spans="1:25" x14ac:dyDescent="0.35">
      <c r="A66" s="11" t="s">
        <v>47</v>
      </c>
      <c r="B66" s="12" t="s">
        <v>405</v>
      </c>
      <c r="C66" s="1" t="s">
        <v>367</v>
      </c>
      <c r="D66" s="1">
        <v>2025</v>
      </c>
      <c r="E66" s="1" t="s">
        <v>784</v>
      </c>
      <c r="F66">
        <v>4650</v>
      </c>
      <c r="G66">
        <v>1905</v>
      </c>
      <c r="H66">
        <v>1661</v>
      </c>
      <c r="I66">
        <v>550</v>
      </c>
      <c r="J66" s="11">
        <f>1971-75</f>
        <v>1896</v>
      </c>
      <c r="K66" s="12">
        <v>2460</v>
      </c>
      <c r="L66" s="13">
        <v>44450</v>
      </c>
      <c r="M66" s="25">
        <v>110</v>
      </c>
      <c r="N66" s="23">
        <v>92</v>
      </c>
      <c r="O66" s="20">
        <v>143.5</v>
      </c>
      <c r="P66" s="25">
        <v>300</v>
      </c>
      <c r="Q66" s="23">
        <v>118</v>
      </c>
      <c r="R66" s="20">
        <v>300</v>
      </c>
      <c r="S66" s="11">
        <v>0.8</v>
      </c>
      <c r="T66">
        <v>6.8</v>
      </c>
      <c r="U66" s="12">
        <v>21.9</v>
      </c>
      <c r="V66" s="11">
        <v>86</v>
      </c>
      <c r="W66" s="23">
        <f t="shared" si="2"/>
        <v>808.82352941176464</v>
      </c>
      <c r="X66" s="20">
        <f t="shared" si="3"/>
        <v>894.82352941176464</v>
      </c>
      <c r="Y66" s="13">
        <v>55</v>
      </c>
    </row>
    <row r="67" spans="1:25" x14ac:dyDescent="0.35">
      <c r="A67" s="11" t="s">
        <v>129</v>
      </c>
      <c r="B67" s="12" t="s">
        <v>407</v>
      </c>
      <c r="C67" s="1" t="s">
        <v>367</v>
      </c>
      <c r="D67" s="1">
        <v>2022</v>
      </c>
      <c r="E67" s="1" t="s">
        <v>784</v>
      </c>
      <c r="F67">
        <v>4660</v>
      </c>
      <c r="G67">
        <v>1865</v>
      </c>
      <c r="H67">
        <v>1640</v>
      </c>
      <c r="I67">
        <v>555</v>
      </c>
      <c r="J67" s="11">
        <v>1990</v>
      </c>
      <c r="K67" s="12">
        <v>2540</v>
      </c>
      <c r="L67" s="13">
        <v>57700</v>
      </c>
      <c r="M67" s="11">
        <v>136</v>
      </c>
      <c r="N67" s="18">
        <f>136+40</f>
        <v>176</v>
      </c>
      <c r="O67" s="12">
        <v>227</v>
      </c>
      <c r="P67" s="11">
        <v>227</v>
      </c>
      <c r="Q67" s="18">
        <f>270+121</f>
        <v>391</v>
      </c>
      <c r="R67" s="12">
        <v>270</v>
      </c>
      <c r="S67" s="11">
        <v>1.1000000000000001</v>
      </c>
      <c r="T67">
        <v>7.3</v>
      </c>
      <c r="U67" s="12"/>
      <c r="V67" s="11">
        <v>69</v>
      </c>
      <c r="W67" s="23">
        <f t="shared" si="2"/>
        <v>753.42465753424653</v>
      </c>
      <c r="X67" s="20">
        <f t="shared" si="3"/>
        <v>822.42465753424653</v>
      </c>
      <c r="Y67" s="13">
        <v>55</v>
      </c>
    </row>
    <row r="68" spans="1:25" x14ac:dyDescent="0.35">
      <c r="A68" s="11" t="s">
        <v>68</v>
      </c>
      <c r="B68" s="12" t="s">
        <v>418</v>
      </c>
      <c r="C68" s="1" t="s">
        <v>416</v>
      </c>
      <c r="D68" s="1">
        <v>2023</v>
      </c>
      <c r="E68" s="1" t="s">
        <v>784</v>
      </c>
      <c r="F68">
        <v>4706</v>
      </c>
      <c r="G68">
        <v>1866</v>
      </c>
      <c r="H68">
        <v>1674</v>
      </c>
      <c r="I68">
        <v>635</v>
      </c>
      <c r="J68" s="11">
        <v>1916</v>
      </c>
      <c r="K68" s="12">
        <v>2430</v>
      </c>
      <c r="L68" s="13">
        <v>54560</v>
      </c>
      <c r="M68" s="11">
        <v>109</v>
      </c>
      <c r="N68" s="18">
        <v>135</v>
      </c>
      <c r="O68" s="12">
        <v>135</v>
      </c>
      <c r="P68" s="11">
        <v>189</v>
      </c>
      <c r="Q68" s="18">
        <v>335</v>
      </c>
      <c r="R68" s="12">
        <v>335</v>
      </c>
      <c r="S68" s="11">
        <v>0.8</v>
      </c>
      <c r="T68">
        <v>5.6</v>
      </c>
      <c r="U68" s="12">
        <v>15.6</v>
      </c>
      <c r="V68" s="11">
        <v>81</v>
      </c>
      <c r="W68" s="23">
        <f t="shared" si="2"/>
        <v>830.35714285714289</v>
      </c>
      <c r="X68" s="20">
        <f t="shared" si="3"/>
        <v>911.35714285714289</v>
      </c>
      <c r="Y68" s="13">
        <v>46.5</v>
      </c>
    </row>
    <row r="69" spans="1:25" x14ac:dyDescent="0.35">
      <c r="A69" s="11" t="s">
        <v>96</v>
      </c>
      <c r="B69" s="12" t="s">
        <v>419</v>
      </c>
      <c r="C69" s="1" t="s">
        <v>416</v>
      </c>
      <c r="D69" s="1">
        <v>2021</v>
      </c>
      <c r="E69" s="1" t="s">
        <v>784</v>
      </c>
      <c r="F69">
        <v>4708</v>
      </c>
      <c r="G69">
        <v>1902</v>
      </c>
      <c r="H69">
        <v>1653</v>
      </c>
      <c r="I69">
        <v>483</v>
      </c>
      <c r="J69" s="11">
        <f>2150-75</f>
        <v>2075</v>
      </c>
      <c r="K69" s="12">
        <v>2660</v>
      </c>
      <c r="L69" s="13">
        <v>87450</v>
      </c>
      <c r="M69" s="25">
        <f>312/1.36</f>
        <v>229.41176470588235</v>
      </c>
      <c r="N69" s="23">
        <f>(46+143)/1.36</f>
        <v>138.97058823529412</v>
      </c>
      <c r="O69" s="20">
        <v>335</v>
      </c>
      <c r="P69" s="25">
        <v>400</v>
      </c>
      <c r="Q69" s="23">
        <f>(111+228)*1.35811</f>
        <v>460.39928999999995</v>
      </c>
      <c r="R69" s="20">
        <v>710</v>
      </c>
      <c r="S69" s="32">
        <v>1.2</v>
      </c>
      <c r="T69" s="29">
        <v>9.74</v>
      </c>
      <c r="U69" s="33">
        <v>19.600000000000001</v>
      </c>
      <c r="V69" s="11">
        <v>76</v>
      </c>
      <c r="W69" s="23">
        <f t="shared" si="2"/>
        <v>728.95277207392201</v>
      </c>
      <c r="X69" s="20">
        <f t="shared" si="3"/>
        <v>804.95277207392201</v>
      </c>
      <c r="Y69" s="13">
        <v>71</v>
      </c>
    </row>
    <row r="70" spans="1:25" x14ac:dyDescent="0.35">
      <c r="A70" s="11" t="s">
        <v>106</v>
      </c>
      <c r="B70" s="12" t="s">
        <v>421</v>
      </c>
      <c r="C70" s="1" t="s">
        <v>416</v>
      </c>
      <c r="D70" s="1">
        <v>2024</v>
      </c>
      <c r="E70" s="1" t="s">
        <v>784</v>
      </c>
      <c r="F70">
        <v>4710</v>
      </c>
      <c r="G70">
        <v>1866</v>
      </c>
      <c r="H70">
        <v>1613</v>
      </c>
      <c r="I70">
        <v>465</v>
      </c>
      <c r="J70" s="11">
        <f>1938-75</f>
        <v>1863</v>
      </c>
      <c r="K70" s="12">
        <v>2440</v>
      </c>
      <c r="L70" s="13">
        <v>48810</v>
      </c>
      <c r="M70" s="11">
        <v>110</v>
      </c>
      <c r="N70" s="18">
        <f>50+25+100</f>
        <v>175</v>
      </c>
      <c r="O70" s="12">
        <v>221</v>
      </c>
      <c r="P70" s="11">
        <v>230</v>
      </c>
      <c r="Q70" s="18">
        <f>205+50+195</f>
        <v>450</v>
      </c>
      <c r="R70" s="12">
        <v>500</v>
      </c>
      <c r="S70" s="11"/>
      <c r="T70">
        <v>5.7</v>
      </c>
      <c r="U70" s="12">
        <v>19.3</v>
      </c>
      <c r="V70" s="11">
        <v>106</v>
      </c>
      <c r="W70" s="23">
        <f t="shared" si="2"/>
        <v>964.9122807017543</v>
      </c>
      <c r="X70" s="20">
        <f t="shared" si="3"/>
        <v>1070.9122807017543</v>
      </c>
      <c r="Y70" s="13">
        <v>55</v>
      </c>
    </row>
    <row r="71" spans="1:25" x14ac:dyDescent="0.35">
      <c r="A71" s="11" t="s">
        <v>81</v>
      </c>
      <c r="B71" s="12" t="s">
        <v>423</v>
      </c>
      <c r="C71" s="1" t="s">
        <v>416</v>
      </c>
      <c r="D71" s="1">
        <v>2023</v>
      </c>
      <c r="E71" s="1" t="s">
        <v>784</v>
      </c>
      <c r="F71">
        <v>4716</v>
      </c>
      <c r="G71">
        <v>1890</v>
      </c>
      <c r="H71">
        <v>1640</v>
      </c>
      <c r="I71">
        <v>460</v>
      </c>
      <c r="J71" s="11">
        <f>2325-75</f>
        <v>2250</v>
      </c>
      <c r="K71" s="12">
        <v>2840</v>
      </c>
      <c r="L71" s="13">
        <v>67829</v>
      </c>
      <c r="M71" s="11">
        <v>150</v>
      </c>
      <c r="N71" s="18">
        <v>115</v>
      </c>
      <c r="O71" s="12">
        <v>230</v>
      </c>
      <c r="P71" s="11">
        <v>320</v>
      </c>
      <c r="Q71" s="18">
        <v>440</v>
      </c>
      <c r="R71" s="12">
        <v>550</v>
      </c>
      <c r="S71" s="11">
        <v>0.5</v>
      </c>
      <c r="T71">
        <v>8</v>
      </c>
      <c r="U71" s="12">
        <v>22.6</v>
      </c>
      <c r="V71" s="11">
        <v>124</v>
      </c>
      <c r="W71" s="23">
        <f t="shared" si="2"/>
        <v>612.5</v>
      </c>
      <c r="X71" s="20">
        <f t="shared" si="3"/>
        <v>736.5</v>
      </c>
      <c r="Y71" s="13">
        <v>49</v>
      </c>
    </row>
    <row r="72" spans="1:25" x14ac:dyDescent="0.35">
      <c r="A72" s="11" t="s">
        <v>81</v>
      </c>
      <c r="B72" s="12" t="s">
        <v>425</v>
      </c>
      <c r="C72" s="1" t="s">
        <v>416</v>
      </c>
      <c r="D72" s="1">
        <v>2023</v>
      </c>
      <c r="E72" s="1" t="s">
        <v>784</v>
      </c>
      <c r="F72">
        <v>4731</v>
      </c>
      <c r="G72">
        <v>1890</v>
      </c>
      <c r="H72">
        <v>1600</v>
      </c>
      <c r="I72">
        <v>350</v>
      </c>
      <c r="J72" s="11">
        <f>2330-75</f>
        <v>2255</v>
      </c>
      <c r="K72" s="12">
        <v>2830</v>
      </c>
      <c r="L72" s="13">
        <v>71131</v>
      </c>
      <c r="M72" s="11">
        <v>150</v>
      </c>
      <c r="N72" s="18">
        <v>115</v>
      </c>
      <c r="O72" s="12">
        <v>230</v>
      </c>
      <c r="P72" s="11">
        <v>320</v>
      </c>
      <c r="Q72" s="18">
        <v>440</v>
      </c>
      <c r="R72" s="12">
        <v>550</v>
      </c>
      <c r="S72" s="11">
        <v>0.5</v>
      </c>
      <c r="T72">
        <v>8</v>
      </c>
      <c r="U72" s="12">
        <v>22.6</v>
      </c>
      <c r="V72" s="11">
        <v>125</v>
      </c>
      <c r="W72" s="23">
        <f t="shared" si="2"/>
        <v>612.5</v>
      </c>
      <c r="X72" s="20">
        <f t="shared" si="3"/>
        <v>737.5</v>
      </c>
      <c r="Y72" s="13">
        <v>49</v>
      </c>
    </row>
    <row r="73" spans="1:25" x14ac:dyDescent="0.35">
      <c r="A73" s="11" t="s">
        <v>60</v>
      </c>
      <c r="B73" s="12" t="s">
        <v>429</v>
      </c>
      <c r="C73" s="1" t="s">
        <v>416</v>
      </c>
      <c r="D73" s="1">
        <v>2025</v>
      </c>
      <c r="E73" s="1" t="s">
        <v>784</v>
      </c>
      <c r="F73">
        <v>4745</v>
      </c>
      <c r="G73">
        <v>1890</v>
      </c>
      <c r="H73">
        <v>1680</v>
      </c>
      <c r="I73">
        <v>570</v>
      </c>
      <c r="J73" s="11">
        <v>1984</v>
      </c>
      <c r="K73" s="12">
        <v>2667</v>
      </c>
      <c r="L73" s="13">
        <v>56330</v>
      </c>
      <c r="M73" s="11"/>
      <c r="N73" s="18"/>
      <c r="O73" s="12">
        <v>241</v>
      </c>
      <c r="P73" s="11"/>
      <c r="Q73" s="18"/>
      <c r="R73" s="12">
        <v>500</v>
      </c>
      <c r="S73" s="11">
        <v>1.4</v>
      </c>
      <c r="T73">
        <v>9.1</v>
      </c>
      <c r="U73" s="12">
        <v>22.7</v>
      </c>
      <c r="V73" s="11">
        <v>63</v>
      </c>
      <c r="W73" s="23">
        <f t="shared" si="2"/>
        <v>549.45054945054949</v>
      </c>
      <c r="X73" s="20">
        <f t="shared" si="3"/>
        <v>612.45054945054949</v>
      </c>
      <c r="Y73" s="13">
        <v>50</v>
      </c>
    </row>
    <row r="74" spans="1:25" x14ac:dyDescent="0.35">
      <c r="A74" s="11" t="s">
        <v>78</v>
      </c>
      <c r="B74" s="12" t="s">
        <v>430</v>
      </c>
      <c r="C74" s="1" t="s">
        <v>416</v>
      </c>
      <c r="D74" s="1">
        <v>2021</v>
      </c>
      <c r="E74" s="1" t="s">
        <v>784</v>
      </c>
      <c r="F74">
        <v>4747</v>
      </c>
      <c r="G74">
        <v>1936</v>
      </c>
      <c r="H74">
        <v>1664</v>
      </c>
      <c r="I74">
        <v>385</v>
      </c>
      <c r="J74" s="11">
        <f>2254-75</f>
        <v>2179</v>
      </c>
      <c r="K74" s="12">
        <v>2740</v>
      </c>
      <c r="L74" s="13">
        <v>72650</v>
      </c>
      <c r="M74" s="11">
        <v>184</v>
      </c>
      <c r="N74" s="18">
        <v>105</v>
      </c>
      <c r="O74" s="12">
        <v>297</v>
      </c>
      <c r="P74" s="11"/>
      <c r="Q74" s="18"/>
      <c r="R74" s="12">
        <v>640</v>
      </c>
      <c r="S74" s="11"/>
      <c r="T74">
        <v>9.9499999999999993</v>
      </c>
      <c r="U74" s="12">
        <v>24</v>
      </c>
      <c r="V74" s="11">
        <v>63</v>
      </c>
      <c r="W74" s="23">
        <f t="shared" si="2"/>
        <v>693.4673366834171</v>
      </c>
      <c r="X74" s="20">
        <f t="shared" si="3"/>
        <v>756.4673366834171</v>
      </c>
      <c r="Y74" s="13">
        <v>69</v>
      </c>
    </row>
    <row r="75" spans="1:25" x14ac:dyDescent="0.35">
      <c r="A75" s="11" t="s">
        <v>37</v>
      </c>
      <c r="B75" s="12" t="s">
        <v>433</v>
      </c>
      <c r="C75" s="1" t="s">
        <v>416</v>
      </c>
      <c r="D75" s="1">
        <v>2025</v>
      </c>
      <c r="E75" s="1" t="s">
        <v>784</v>
      </c>
      <c r="F75">
        <v>4755</v>
      </c>
      <c r="G75">
        <v>1920</v>
      </c>
      <c r="H75">
        <v>1660</v>
      </c>
      <c r="I75">
        <v>460</v>
      </c>
      <c r="J75" s="11">
        <v>2140</v>
      </c>
      <c r="K75" s="12">
        <v>2710</v>
      </c>
      <c r="L75" s="13">
        <v>66750</v>
      </c>
      <c r="M75" s="11">
        <v>140</v>
      </c>
      <c r="N75" s="18">
        <v>135</v>
      </c>
      <c r="O75" s="12">
        <v>220</v>
      </c>
      <c r="P75" s="11">
        <v>310</v>
      </c>
      <c r="Q75" s="18">
        <v>250</v>
      </c>
      <c r="R75" s="12">
        <v>450</v>
      </c>
      <c r="S75" s="11">
        <v>1.1000000000000001</v>
      </c>
      <c r="T75">
        <v>7.9</v>
      </c>
      <c r="U75" s="12">
        <v>24</v>
      </c>
      <c r="V75" s="11">
        <v>81</v>
      </c>
      <c r="W75" s="23">
        <f t="shared" si="2"/>
        <v>632.91139240506334</v>
      </c>
      <c r="X75" s="20">
        <f t="shared" si="3"/>
        <v>713.91139240506334</v>
      </c>
      <c r="Y75" s="13">
        <v>50</v>
      </c>
    </row>
    <row r="76" spans="1:25" x14ac:dyDescent="0.35">
      <c r="A76" s="11" t="s">
        <v>328</v>
      </c>
      <c r="B76" s="12" t="s">
        <v>434</v>
      </c>
      <c r="C76" s="1" t="s">
        <v>416</v>
      </c>
      <c r="D76" s="1">
        <v>2020</v>
      </c>
      <c r="E76" s="1" t="s">
        <v>784</v>
      </c>
      <c r="F76">
        <v>4758</v>
      </c>
      <c r="G76">
        <v>1996</v>
      </c>
      <c r="H76">
        <v>1967</v>
      </c>
      <c r="I76">
        <v>550</v>
      </c>
      <c r="J76" s="11">
        <v>2538</v>
      </c>
      <c r="K76" s="12">
        <v>3300</v>
      </c>
      <c r="L76" s="13">
        <v>81800</v>
      </c>
      <c r="M76" s="25"/>
      <c r="N76" s="23"/>
      <c r="O76" s="20">
        <v>221</v>
      </c>
      <c r="P76" s="25"/>
      <c r="Q76" s="23"/>
      <c r="R76" s="20">
        <v>625</v>
      </c>
      <c r="S76" s="11">
        <v>3.2</v>
      </c>
      <c r="T76" s="29">
        <v>8.8000000000000007</v>
      </c>
      <c r="U76" s="12">
        <v>25.4</v>
      </c>
      <c r="V76" s="11">
        <v>45</v>
      </c>
      <c r="W76" s="23">
        <f t="shared" si="2"/>
        <v>1022.7272727272726</v>
      </c>
      <c r="X76" s="20">
        <f t="shared" si="3"/>
        <v>1067.7272727272725</v>
      </c>
      <c r="Y76" s="13">
        <v>90</v>
      </c>
    </row>
    <row r="77" spans="1:25" x14ac:dyDescent="0.35">
      <c r="A77" s="11" t="s">
        <v>119</v>
      </c>
      <c r="B77" s="12" t="s">
        <v>438</v>
      </c>
      <c r="C77" s="1" t="s">
        <v>416</v>
      </c>
      <c r="D77" s="1">
        <v>2025</v>
      </c>
      <c r="E77" s="1" t="s">
        <v>784</v>
      </c>
      <c r="F77">
        <v>4770</v>
      </c>
      <c r="G77">
        <v>1849</v>
      </c>
      <c r="H77">
        <v>1660</v>
      </c>
      <c r="I77">
        <v>705</v>
      </c>
      <c r="J77" s="11">
        <v>1939</v>
      </c>
      <c r="K77" s="12">
        <v>2500</v>
      </c>
      <c r="L77" s="13">
        <v>50450</v>
      </c>
      <c r="M77" s="11">
        <v>110</v>
      </c>
      <c r="N77" s="18">
        <v>85</v>
      </c>
      <c r="O77" s="12">
        <v>150</v>
      </c>
      <c r="P77" s="11">
        <v>250</v>
      </c>
      <c r="Q77" s="18">
        <v>350</v>
      </c>
      <c r="R77" s="12">
        <v>350</v>
      </c>
      <c r="S77" s="11">
        <v>0.4</v>
      </c>
      <c r="T77">
        <v>5.6</v>
      </c>
      <c r="U77" s="12">
        <v>17.3</v>
      </c>
      <c r="V77" s="11">
        <v>124</v>
      </c>
      <c r="W77" s="23">
        <f t="shared" si="2"/>
        <v>803.57142857142867</v>
      </c>
      <c r="X77" s="20">
        <f t="shared" si="3"/>
        <v>927.57142857142867</v>
      </c>
      <c r="Y77" s="13">
        <v>45</v>
      </c>
    </row>
    <row r="78" spans="1:25" x14ac:dyDescent="0.35">
      <c r="A78" s="11" t="s">
        <v>40</v>
      </c>
      <c r="B78" s="14" t="s">
        <v>443</v>
      </c>
      <c r="C78" s="1" t="s">
        <v>416</v>
      </c>
      <c r="D78" s="1">
        <v>2025</v>
      </c>
      <c r="E78" s="1" t="s">
        <v>784</v>
      </c>
      <c r="F78">
        <v>4791</v>
      </c>
      <c r="G78">
        <v>1895</v>
      </c>
      <c r="H78">
        <v>1694</v>
      </c>
      <c r="I78">
        <v>748</v>
      </c>
      <c r="J78" s="11">
        <v>2048</v>
      </c>
      <c r="K78" s="12">
        <v>2700</v>
      </c>
      <c r="L78" s="13">
        <v>46660</v>
      </c>
      <c r="M78" s="11">
        <v>110</v>
      </c>
      <c r="N78" s="18">
        <v>92</v>
      </c>
      <c r="O78" s="12">
        <v>143.5</v>
      </c>
      <c r="P78" s="11">
        <v>300</v>
      </c>
      <c r="Q78" s="18">
        <v>118</v>
      </c>
      <c r="R78" s="12">
        <v>300</v>
      </c>
      <c r="S78" s="11">
        <v>1.1000000000000001</v>
      </c>
      <c r="T78">
        <v>7.1</v>
      </c>
      <c r="U78" s="12">
        <v>21.7</v>
      </c>
      <c r="V78" s="11">
        <v>78</v>
      </c>
      <c r="W78" s="23">
        <f t="shared" si="2"/>
        <v>845.07042253521138</v>
      </c>
      <c r="X78" s="20">
        <f t="shared" si="3"/>
        <v>923.07042253521138</v>
      </c>
      <c r="Y78" s="13">
        <v>60</v>
      </c>
    </row>
    <row r="79" spans="1:25" x14ac:dyDescent="0.35">
      <c r="A79" s="11" t="s">
        <v>328</v>
      </c>
      <c r="B79" s="12" t="s">
        <v>444</v>
      </c>
      <c r="C79" s="1" t="s">
        <v>416</v>
      </c>
      <c r="D79" s="1">
        <v>2023</v>
      </c>
      <c r="E79" s="1" t="s">
        <v>784</v>
      </c>
      <c r="F79">
        <v>4797</v>
      </c>
      <c r="G79">
        <v>1950</v>
      </c>
      <c r="H79">
        <v>1683</v>
      </c>
      <c r="I79">
        <v>503</v>
      </c>
      <c r="J79" s="11">
        <v>2205</v>
      </c>
      <c r="K79" s="12">
        <v>2740</v>
      </c>
      <c r="L79" s="13">
        <v>83400</v>
      </c>
      <c r="M79" s="25">
        <v>294</v>
      </c>
      <c r="N79" s="23">
        <v>105</v>
      </c>
      <c r="O79" s="20">
        <v>297</v>
      </c>
      <c r="P79" s="25">
        <v>550</v>
      </c>
      <c r="Q79" s="23">
        <v>275</v>
      </c>
      <c r="R79" s="20">
        <v>640</v>
      </c>
      <c r="S79" s="11">
        <v>1.9</v>
      </c>
      <c r="T79" s="29">
        <v>7.8</v>
      </c>
      <c r="U79" s="12"/>
      <c r="V79" s="11">
        <v>63</v>
      </c>
      <c r="W79" s="23">
        <f t="shared" si="2"/>
        <v>884.61538461538464</v>
      </c>
      <c r="X79" s="20">
        <f t="shared" si="3"/>
        <v>947.61538461538464</v>
      </c>
      <c r="Y79" s="13">
        <v>69</v>
      </c>
    </row>
    <row r="80" spans="1:25" x14ac:dyDescent="0.35">
      <c r="A80" s="11" t="s">
        <v>24</v>
      </c>
      <c r="B80" s="12" t="s">
        <v>448</v>
      </c>
      <c r="C80" s="1" t="s">
        <v>416</v>
      </c>
      <c r="D80" s="1">
        <v>2024</v>
      </c>
      <c r="E80" s="1" t="s">
        <v>784</v>
      </c>
      <c r="F80">
        <v>4815</v>
      </c>
      <c r="G80">
        <v>1900</v>
      </c>
      <c r="H80">
        <v>1700</v>
      </c>
      <c r="I80">
        <v>809</v>
      </c>
      <c r="J80" s="11">
        <f>2065-75</f>
        <v>1990</v>
      </c>
      <c r="K80" s="12">
        <v>2520</v>
      </c>
      <c r="L80" s="13">
        <v>61425</v>
      </c>
      <c r="M80" s="25">
        <v>118</v>
      </c>
      <c r="N80" s="23">
        <v>72</v>
      </c>
      <c r="O80" s="20">
        <f>265/1.36</f>
        <v>194.85294117647058</v>
      </c>
      <c r="P80" s="25">
        <v>265</v>
      </c>
      <c r="Q80" s="23">
        <v>304</v>
      </c>
      <c r="R80" s="20">
        <v>350</v>
      </c>
      <c r="S80" s="11">
        <v>1.6</v>
      </c>
      <c r="T80">
        <v>9</v>
      </c>
      <c r="U80" s="12">
        <v>18.2</v>
      </c>
      <c r="V80" s="11">
        <v>57</v>
      </c>
      <c r="W80" s="23">
        <f t="shared" si="2"/>
        <v>522.22222222222229</v>
      </c>
      <c r="X80" s="20">
        <f t="shared" si="3"/>
        <v>579.22222222222229</v>
      </c>
      <c r="Y80" s="13">
        <v>47</v>
      </c>
    </row>
    <row r="81" spans="1:25" x14ac:dyDescent="0.35">
      <c r="A81" s="11" t="s">
        <v>29</v>
      </c>
      <c r="B81" s="12" t="s">
        <v>450</v>
      </c>
      <c r="C81" s="1" t="s">
        <v>416</v>
      </c>
      <c r="D81" s="1">
        <v>2024</v>
      </c>
      <c r="E81" s="1" t="s">
        <v>784</v>
      </c>
      <c r="F81">
        <v>4830</v>
      </c>
      <c r="G81">
        <v>1900</v>
      </c>
      <c r="H81">
        <v>1770</v>
      </c>
      <c r="I81">
        <v>711</v>
      </c>
      <c r="J81" s="11">
        <v>2090</v>
      </c>
      <c r="K81" s="12">
        <v>2740</v>
      </c>
      <c r="L81" s="13">
        <v>60820</v>
      </c>
      <c r="M81" s="11">
        <v>117.6</v>
      </c>
      <c r="N81" s="18">
        <v>186.1</v>
      </c>
      <c r="O81" s="12">
        <v>185</v>
      </c>
      <c r="P81" s="11">
        <v>265</v>
      </c>
      <c r="Q81" s="18">
        <v>367</v>
      </c>
      <c r="R81" s="12">
        <v>367</v>
      </c>
      <c r="S81" s="11"/>
      <c r="T81">
        <v>6.2</v>
      </c>
      <c r="U81" s="12"/>
      <c r="V81" s="11">
        <v>54</v>
      </c>
      <c r="W81" s="23">
        <f t="shared" si="2"/>
        <v>758.0645161290322</v>
      </c>
      <c r="X81" s="20">
        <f t="shared" si="3"/>
        <v>812.0645161290322</v>
      </c>
      <c r="Y81" s="13">
        <v>47</v>
      </c>
    </row>
    <row r="82" spans="1:25" x14ac:dyDescent="0.35">
      <c r="A82" s="11" t="s">
        <v>284</v>
      </c>
      <c r="B82" s="12" t="s">
        <v>454</v>
      </c>
      <c r="C82" s="1" t="s">
        <v>416</v>
      </c>
      <c r="D82" s="1">
        <v>2019</v>
      </c>
      <c r="E82" s="1" t="s">
        <v>784</v>
      </c>
      <c r="F82">
        <v>4882</v>
      </c>
      <c r="G82">
        <v>1894</v>
      </c>
      <c r="H82">
        <v>1848</v>
      </c>
      <c r="I82">
        <v>533</v>
      </c>
      <c r="J82" s="11">
        <f>2403-75</f>
        <v>2328</v>
      </c>
      <c r="K82" s="12">
        <v>2812</v>
      </c>
      <c r="L82" s="13">
        <v>87750</v>
      </c>
      <c r="M82" s="11">
        <v>200</v>
      </c>
      <c r="N82" s="18">
        <v>107</v>
      </c>
      <c r="O82" s="20">
        <v>279</v>
      </c>
      <c r="P82" s="25">
        <v>400</v>
      </c>
      <c r="Q82" s="23">
        <v>245</v>
      </c>
      <c r="R82" s="20">
        <v>637</v>
      </c>
      <c r="S82" s="11">
        <v>3.5</v>
      </c>
      <c r="T82" s="27">
        <v>10.8</v>
      </c>
      <c r="U82" s="26">
        <v>22.1</v>
      </c>
      <c r="V82" s="11">
        <v>44</v>
      </c>
      <c r="W82" s="23">
        <f t="shared" si="2"/>
        <v>601.85185185185185</v>
      </c>
      <c r="X82" s="20">
        <f t="shared" si="3"/>
        <v>645.85185185185185</v>
      </c>
      <c r="Y82" s="13">
        <v>65</v>
      </c>
    </row>
    <row r="83" spans="1:25" x14ac:dyDescent="0.35">
      <c r="A83" s="11" t="s">
        <v>129</v>
      </c>
      <c r="B83" s="12" t="s">
        <v>455</v>
      </c>
      <c r="C83" s="1" t="s">
        <v>416</v>
      </c>
      <c r="D83" s="1">
        <v>2023</v>
      </c>
      <c r="E83" s="1" t="s">
        <v>784</v>
      </c>
      <c r="F83">
        <v>4890</v>
      </c>
      <c r="G83">
        <v>1920</v>
      </c>
      <c r="H83">
        <v>1695</v>
      </c>
      <c r="I83">
        <v>461</v>
      </c>
      <c r="J83" s="11">
        <v>2110</v>
      </c>
      <c r="K83" s="12">
        <v>2780</v>
      </c>
      <c r="L83" s="13">
        <v>83900</v>
      </c>
      <c r="M83" s="11">
        <v>136</v>
      </c>
      <c r="N83" s="18">
        <v>176</v>
      </c>
      <c r="O83" s="12">
        <v>227</v>
      </c>
      <c r="P83" s="11">
        <v>227</v>
      </c>
      <c r="Q83" s="18">
        <v>391</v>
      </c>
      <c r="R83" s="12">
        <v>270</v>
      </c>
      <c r="S83" s="11">
        <v>1.1000000000000001</v>
      </c>
      <c r="T83">
        <v>7.3</v>
      </c>
      <c r="U83" s="12"/>
      <c r="V83" s="11">
        <v>65</v>
      </c>
      <c r="W83" s="23">
        <f t="shared" si="2"/>
        <v>753.42465753424653</v>
      </c>
      <c r="X83" s="20">
        <f t="shared" si="3"/>
        <v>818.42465753424653</v>
      </c>
      <c r="Y83" s="13">
        <v>55</v>
      </c>
    </row>
    <row r="84" spans="1:25" x14ac:dyDescent="0.35">
      <c r="A84" s="11" t="s">
        <v>119</v>
      </c>
      <c r="B84" s="12" t="s">
        <v>457</v>
      </c>
      <c r="C84" s="1" t="s">
        <v>416</v>
      </c>
      <c r="D84" s="1">
        <v>2024</v>
      </c>
      <c r="E84" s="1" t="s">
        <v>784</v>
      </c>
      <c r="F84">
        <v>4902</v>
      </c>
      <c r="G84">
        <v>1984</v>
      </c>
      <c r="H84">
        <v>1712</v>
      </c>
      <c r="I84">
        <v>655</v>
      </c>
      <c r="J84" s="11">
        <f>2444-75</f>
        <v>2369</v>
      </c>
      <c r="K84" s="12">
        <v>3020</v>
      </c>
      <c r="L84" s="13">
        <v>78450</v>
      </c>
      <c r="M84" s="11">
        <v>250</v>
      </c>
      <c r="N84" s="18">
        <v>100</v>
      </c>
      <c r="O84" s="12">
        <v>280</v>
      </c>
      <c r="P84" s="11">
        <v>450</v>
      </c>
      <c r="Q84" s="18">
        <v>400</v>
      </c>
      <c r="R84" s="12">
        <v>600</v>
      </c>
      <c r="S84" s="11">
        <v>2.6</v>
      </c>
      <c r="T84">
        <v>7.2</v>
      </c>
      <c r="U84" s="12">
        <v>24.2</v>
      </c>
      <c r="V84" s="11">
        <v>47</v>
      </c>
      <c r="W84" s="23">
        <f t="shared" si="2"/>
        <v>1041.6666666666665</v>
      </c>
      <c r="X84" s="20">
        <f t="shared" si="3"/>
        <v>1088.6666666666665</v>
      </c>
      <c r="Y84" s="13">
        <v>75</v>
      </c>
    </row>
    <row r="85" spans="1:25" x14ac:dyDescent="0.35">
      <c r="A85" s="11" t="s">
        <v>284</v>
      </c>
      <c r="B85" s="12" t="s">
        <v>458</v>
      </c>
      <c r="C85" s="1" t="s">
        <v>416</v>
      </c>
      <c r="D85" s="1">
        <v>2024</v>
      </c>
      <c r="E85" s="1" t="s">
        <v>784</v>
      </c>
      <c r="F85">
        <v>4914</v>
      </c>
      <c r="G85">
        <v>1968</v>
      </c>
      <c r="H85">
        <v>1799</v>
      </c>
      <c r="I85">
        <v>580</v>
      </c>
      <c r="J85" s="11">
        <v>2503</v>
      </c>
      <c r="K85" s="12">
        <v>3110</v>
      </c>
      <c r="L85" s="13">
        <v>102250</v>
      </c>
      <c r="M85" s="11">
        <v>200</v>
      </c>
      <c r="N85" s="18">
        <v>153</v>
      </c>
      <c r="O85" s="20">
        <f>380/1.36</f>
        <v>279.41176470588232</v>
      </c>
      <c r="P85" s="25">
        <v>400</v>
      </c>
      <c r="Q85" s="23">
        <v>245</v>
      </c>
      <c r="R85" s="20">
        <v>637</v>
      </c>
      <c r="S85" s="11">
        <v>2.9</v>
      </c>
      <c r="T85" s="27">
        <v>8.14</v>
      </c>
      <c r="U85" s="26">
        <v>24.2</v>
      </c>
      <c r="V85" s="11">
        <v>42</v>
      </c>
      <c r="W85" s="23">
        <f t="shared" si="2"/>
        <v>884.52088452088447</v>
      </c>
      <c r="X85" s="20">
        <f t="shared" si="3"/>
        <v>926.52088452088447</v>
      </c>
      <c r="Y85" s="13">
        <v>72</v>
      </c>
    </row>
    <row r="86" spans="1:25" x14ac:dyDescent="0.35">
      <c r="A86" s="11" t="s">
        <v>81</v>
      </c>
      <c r="B86" s="12" t="s">
        <v>461</v>
      </c>
      <c r="C86" s="1" t="s">
        <v>416</v>
      </c>
      <c r="D86" s="1">
        <v>2023</v>
      </c>
      <c r="E86" s="1" t="s">
        <v>784</v>
      </c>
      <c r="F86">
        <v>4924</v>
      </c>
      <c r="G86">
        <v>1947</v>
      </c>
      <c r="H86">
        <v>1797</v>
      </c>
      <c r="I86">
        <v>490</v>
      </c>
      <c r="J86" s="11">
        <f>2665-75</f>
        <v>2590</v>
      </c>
      <c r="K86" s="12">
        <v>3240</v>
      </c>
      <c r="L86" s="13">
        <v>96587</v>
      </c>
      <c r="M86" s="11">
        <v>185</v>
      </c>
      <c r="N86" s="18">
        <v>115</v>
      </c>
      <c r="O86" s="12">
        <v>280</v>
      </c>
      <c r="P86" s="11">
        <v>400</v>
      </c>
      <c r="Q86" s="18">
        <v>480</v>
      </c>
      <c r="R86" s="12">
        <v>650</v>
      </c>
      <c r="S86" s="11">
        <v>0.8</v>
      </c>
      <c r="T86">
        <v>8.4</v>
      </c>
      <c r="U86" s="12">
        <v>26.7</v>
      </c>
      <c r="V86" s="11">
        <v>103</v>
      </c>
      <c r="W86" s="23">
        <f t="shared" si="2"/>
        <v>773.80952380952385</v>
      </c>
      <c r="X86" s="20">
        <f t="shared" si="3"/>
        <v>876.80952380952385</v>
      </c>
      <c r="Y86" s="13">
        <v>65</v>
      </c>
    </row>
    <row r="87" spans="1:25" x14ac:dyDescent="0.35">
      <c r="A87" s="11" t="s">
        <v>328</v>
      </c>
      <c r="B87" s="12" t="s">
        <v>462</v>
      </c>
      <c r="C87" s="1" t="s">
        <v>416</v>
      </c>
      <c r="D87" s="1">
        <v>2022</v>
      </c>
      <c r="E87" s="1" t="s">
        <v>784</v>
      </c>
      <c r="F87">
        <v>4946</v>
      </c>
      <c r="G87">
        <v>1990</v>
      </c>
      <c r="H87">
        <v>1820</v>
      </c>
      <c r="I87">
        <v>647</v>
      </c>
      <c r="J87" s="11">
        <v>2660</v>
      </c>
      <c r="K87" s="12">
        <v>3450</v>
      </c>
      <c r="L87" s="13">
        <v>104450</v>
      </c>
      <c r="M87" s="25"/>
      <c r="N87" s="23"/>
      <c r="O87" s="20">
        <f>460/1.36</f>
        <v>338.23529411764702</v>
      </c>
      <c r="P87" s="25"/>
      <c r="Q87" s="23"/>
      <c r="R87" s="20">
        <v>660</v>
      </c>
      <c r="S87" s="11">
        <v>2.1</v>
      </c>
      <c r="T87" s="29">
        <v>9.1999999999999993</v>
      </c>
      <c r="U87" s="12">
        <v>29.4</v>
      </c>
      <c r="V87" s="11">
        <v>84</v>
      </c>
      <c r="W87" s="23">
        <f t="shared" si="2"/>
        <v>777.17391304347836</v>
      </c>
      <c r="X87" s="20">
        <f t="shared" si="3"/>
        <v>861.17391304347836</v>
      </c>
      <c r="Y87" s="13">
        <v>71.5</v>
      </c>
    </row>
    <row r="88" spans="1:25" x14ac:dyDescent="0.35">
      <c r="A88" s="11" t="s">
        <v>96</v>
      </c>
      <c r="B88" s="12" t="s">
        <v>464</v>
      </c>
      <c r="C88" s="1" t="s">
        <v>416</v>
      </c>
      <c r="D88" s="1">
        <v>2019</v>
      </c>
      <c r="E88" s="1" t="s">
        <v>784</v>
      </c>
      <c r="F88">
        <v>4953</v>
      </c>
      <c r="G88">
        <v>1923</v>
      </c>
      <c r="H88">
        <v>1776</v>
      </c>
      <c r="I88">
        <v>640</v>
      </c>
      <c r="J88" s="11">
        <f>2279-75</f>
        <v>2204</v>
      </c>
      <c r="K88" s="12">
        <v>2950</v>
      </c>
      <c r="L88" s="13">
        <v>91151</v>
      </c>
      <c r="M88" s="25">
        <v>229</v>
      </c>
      <c r="N88" s="23">
        <v>139</v>
      </c>
      <c r="O88" s="20">
        <v>335</v>
      </c>
      <c r="P88" s="25">
        <v>400</v>
      </c>
      <c r="Q88" s="23">
        <v>460</v>
      </c>
      <c r="R88" s="20">
        <v>710</v>
      </c>
      <c r="S88" s="32">
        <v>1.2</v>
      </c>
      <c r="T88" s="29">
        <v>10.5</v>
      </c>
      <c r="U88" s="33">
        <v>19.5</v>
      </c>
      <c r="V88" s="11">
        <v>71</v>
      </c>
      <c r="W88" s="23">
        <f t="shared" si="2"/>
        <v>676.19047619047615</v>
      </c>
      <c r="X88" s="20">
        <f t="shared" si="3"/>
        <v>747.19047619047615</v>
      </c>
      <c r="Y88" s="13">
        <v>71</v>
      </c>
    </row>
    <row r="89" spans="1:25" x14ac:dyDescent="0.35">
      <c r="A89" s="11" t="s">
        <v>60</v>
      </c>
      <c r="B89" s="12" t="s">
        <v>469</v>
      </c>
      <c r="C89" s="1" t="s">
        <v>416</v>
      </c>
      <c r="D89" s="1">
        <v>2025</v>
      </c>
      <c r="E89" s="1" t="s">
        <v>784</v>
      </c>
      <c r="F89">
        <v>4990</v>
      </c>
      <c r="G89">
        <v>1890</v>
      </c>
      <c r="H89">
        <v>1713</v>
      </c>
      <c r="I89">
        <v>566</v>
      </c>
      <c r="J89" s="11">
        <v>2165</v>
      </c>
      <c r="K89" s="12">
        <v>2889</v>
      </c>
      <c r="L89" s="13">
        <v>61394</v>
      </c>
      <c r="M89" s="11"/>
      <c r="N89" s="18"/>
      <c r="O89" s="12">
        <v>241</v>
      </c>
      <c r="P89" s="11"/>
      <c r="Q89" s="18"/>
      <c r="R89" s="12">
        <v>500</v>
      </c>
      <c r="S89" s="11">
        <v>1.6</v>
      </c>
      <c r="T89">
        <v>8.6</v>
      </c>
      <c r="U89" s="12">
        <v>23.8</v>
      </c>
      <c r="V89" s="11">
        <v>60</v>
      </c>
      <c r="W89" s="23">
        <f t="shared" si="2"/>
        <v>813.95348837209303</v>
      </c>
      <c r="X89" s="20">
        <f t="shared" si="3"/>
        <v>873.95348837209303</v>
      </c>
      <c r="Y89" s="13">
        <v>70</v>
      </c>
    </row>
    <row r="90" spans="1:25" x14ac:dyDescent="0.35">
      <c r="A90" s="11" t="s">
        <v>32</v>
      </c>
      <c r="B90" s="12" t="s">
        <v>904</v>
      </c>
      <c r="C90" s="1"/>
      <c r="D90" s="1">
        <v>2025</v>
      </c>
      <c r="E90" s="1" t="s">
        <v>784</v>
      </c>
      <c r="I90">
        <v>280</v>
      </c>
      <c r="J90" s="11">
        <v>1675</v>
      </c>
      <c r="K90" s="12">
        <v>2095</v>
      </c>
      <c r="L90" s="13">
        <v>46230</v>
      </c>
      <c r="M90" s="11">
        <v>110</v>
      </c>
      <c r="N90" s="18"/>
      <c r="O90" s="12">
        <v>110</v>
      </c>
      <c r="P90" s="11"/>
      <c r="Q90" s="18">
        <v>330</v>
      </c>
      <c r="R90" s="12">
        <v>350</v>
      </c>
      <c r="S90" s="11">
        <v>0.4</v>
      </c>
      <c r="T90">
        <v>4.9000000000000004</v>
      </c>
      <c r="U90" s="12">
        <v>14.8</v>
      </c>
      <c r="V90" s="11">
        <v>141</v>
      </c>
      <c r="W90" s="23">
        <f t="shared" si="2"/>
        <v>816.32653061224494</v>
      </c>
      <c r="X90" s="20">
        <f t="shared" si="3"/>
        <v>957.32653061224494</v>
      </c>
      <c r="Y90" s="13">
        <v>40</v>
      </c>
    </row>
    <row r="91" spans="1:25" x14ac:dyDescent="0.35">
      <c r="A91" s="11" t="s">
        <v>32</v>
      </c>
      <c r="B91" s="12" t="s">
        <v>470</v>
      </c>
      <c r="C91" s="1" t="s">
        <v>416</v>
      </c>
      <c r="D91" s="1">
        <v>2024</v>
      </c>
      <c r="E91" s="1" t="s">
        <v>784</v>
      </c>
      <c r="F91">
        <v>4992</v>
      </c>
      <c r="G91">
        <v>1995</v>
      </c>
      <c r="H91">
        <v>1697</v>
      </c>
      <c r="I91">
        <v>439</v>
      </c>
      <c r="J91" s="11">
        <v>2490</v>
      </c>
      <c r="K91" s="12">
        <v>3110</v>
      </c>
      <c r="L91" s="13">
        <v>101900</v>
      </c>
      <c r="M91" s="11">
        <v>250</v>
      </c>
      <c r="N91" s="18"/>
      <c r="O91" s="12">
        <v>250</v>
      </c>
      <c r="P91" s="11"/>
      <c r="Q91" s="18">
        <v>460</v>
      </c>
      <c r="R91" s="12">
        <v>600</v>
      </c>
      <c r="S91" s="11">
        <v>1.3</v>
      </c>
      <c r="T91">
        <v>10.199999999999999</v>
      </c>
      <c r="U91" s="12">
        <v>28.3</v>
      </c>
      <c r="V91" s="11">
        <v>82</v>
      </c>
      <c r="W91" s="23">
        <f t="shared" si="2"/>
        <v>735.2941176470589</v>
      </c>
      <c r="X91" s="20">
        <f t="shared" si="3"/>
        <v>817.2941176470589</v>
      </c>
      <c r="Y91" s="13">
        <v>75</v>
      </c>
    </row>
    <row r="93" spans="1:25" x14ac:dyDescent="0.35">
      <c r="J93">
        <f>COUNTBLANK(J3:J91)</f>
        <v>0</v>
      </c>
    </row>
    <row r="94" spans="1:25" x14ac:dyDescent="0.35">
      <c r="J94">
        <f>COUNT(J3:J91)</f>
        <v>89</v>
      </c>
    </row>
    <row r="97" spans="1:1" x14ac:dyDescent="0.35">
      <c r="A97" t="s">
        <v>907</v>
      </c>
    </row>
    <row r="98" spans="1:1" x14ac:dyDescent="0.35">
      <c r="A98" t="s">
        <v>908</v>
      </c>
    </row>
  </sheetData>
  <autoFilter ref="A1:A91" xr:uid="{F04652C2-EF65-4A74-A970-E8B0F04C0B39}"/>
  <mergeCells count="9">
    <mergeCell ref="A1:A2"/>
    <mergeCell ref="B1:B2"/>
    <mergeCell ref="Y1:Y2"/>
    <mergeCell ref="J1:K1"/>
    <mergeCell ref="S1:U1"/>
    <mergeCell ref="V1:X1"/>
    <mergeCell ref="M1:O1"/>
    <mergeCell ref="P1:R1"/>
    <mergeCell ref="L1:L2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2AD58-918A-46A0-8C21-8AF81DCCAC6D}">
  <dimension ref="A1:T49"/>
  <sheetViews>
    <sheetView workbookViewId="0">
      <pane ySplit="2" topLeftCell="A3" activePane="bottomLeft" state="frozen"/>
      <selection pane="bottomLeft" activeCell="A3" sqref="A3"/>
    </sheetView>
  </sheetViews>
  <sheetFormatPr baseColWidth="10" defaultRowHeight="14.5" x14ac:dyDescent="0.35"/>
  <cols>
    <col min="1" max="1" width="14.36328125" bestFit="1" customWidth="1"/>
    <col min="2" max="2" width="19.36328125" bestFit="1" customWidth="1"/>
    <col min="3" max="3" width="53.7265625" bestFit="1" customWidth="1"/>
    <col min="4" max="4" width="29.453125" customWidth="1"/>
    <col min="5" max="5" width="5.1796875" bestFit="1" customWidth="1"/>
    <col min="6" max="6" width="9.26953125" style="1" bestFit="1" customWidth="1"/>
    <col min="7" max="7" width="13.08984375" bestFit="1" customWidth="1"/>
    <col min="8" max="8" width="8.7265625" bestFit="1" customWidth="1"/>
    <col min="9" max="9" width="15.90625" bestFit="1" customWidth="1"/>
    <col min="10" max="10" width="14.81640625" bestFit="1" customWidth="1"/>
    <col min="11" max="11" width="13" customWidth="1"/>
    <col min="12" max="12" width="14.7265625" customWidth="1"/>
    <col min="14" max="14" width="15" style="34" bestFit="1" customWidth="1"/>
  </cols>
  <sheetData>
    <row r="1" spans="1:20" ht="16" x14ac:dyDescent="0.4">
      <c r="A1" s="85" t="s">
        <v>874</v>
      </c>
      <c r="B1" s="86"/>
      <c r="C1" s="86"/>
      <c r="D1" s="87"/>
      <c r="E1" s="49"/>
      <c r="F1" s="52"/>
      <c r="G1" s="85" t="s">
        <v>875</v>
      </c>
      <c r="H1" s="86"/>
      <c r="I1" s="86"/>
      <c r="J1" s="87"/>
      <c r="K1" s="85" t="s">
        <v>876</v>
      </c>
      <c r="L1" s="87"/>
      <c r="M1" s="37"/>
      <c r="N1" s="38"/>
      <c r="O1" s="88" t="s">
        <v>953</v>
      </c>
      <c r="P1" s="89"/>
      <c r="Q1" s="90"/>
      <c r="R1" s="88" t="s">
        <v>954</v>
      </c>
      <c r="S1" s="89"/>
      <c r="T1" s="90"/>
    </row>
    <row r="2" spans="1:20" ht="15" thickBot="1" x14ac:dyDescent="0.4">
      <c r="A2" s="61" t="s">
        <v>528</v>
      </c>
      <c r="B2" s="62" t="s">
        <v>529</v>
      </c>
      <c r="C2" s="62" t="s">
        <v>776</v>
      </c>
      <c r="D2" s="63" t="s">
        <v>17</v>
      </c>
      <c r="E2" s="64" t="s">
        <v>16</v>
      </c>
      <c r="F2" s="64" t="s">
        <v>779</v>
      </c>
      <c r="G2" s="61" t="s">
        <v>734</v>
      </c>
      <c r="H2" s="62" t="s">
        <v>735</v>
      </c>
      <c r="I2" s="62" t="s">
        <v>737</v>
      </c>
      <c r="J2" s="63" t="s">
        <v>736</v>
      </c>
      <c r="K2" s="61" t="s">
        <v>877</v>
      </c>
      <c r="L2" s="63" t="s">
        <v>878</v>
      </c>
      <c r="M2" s="62" t="s">
        <v>536</v>
      </c>
      <c r="N2" s="66" t="s">
        <v>777</v>
      </c>
      <c r="O2" s="61" t="s">
        <v>909</v>
      </c>
      <c r="P2" s="62" t="s">
        <v>910</v>
      </c>
      <c r="Q2" s="63" t="s">
        <v>911</v>
      </c>
      <c r="R2" s="62" t="s">
        <v>950</v>
      </c>
      <c r="S2" s="62" t="s">
        <v>951</v>
      </c>
      <c r="T2" s="63" t="s">
        <v>952</v>
      </c>
    </row>
    <row r="3" spans="1:20" x14ac:dyDescent="0.35">
      <c r="A3" s="39" t="s">
        <v>27</v>
      </c>
      <c r="B3" s="6" t="s">
        <v>28</v>
      </c>
      <c r="C3" s="6" t="s">
        <v>929</v>
      </c>
      <c r="D3" s="48" t="s">
        <v>785</v>
      </c>
      <c r="E3" s="50">
        <v>2025</v>
      </c>
      <c r="F3" s="53" t="s">
        <v>571</v>
      </c>
      <c r="G3" s="39">
        <v>86</v>
      </c>
      <c r="H3" s="6">
        <v>8.9</v>
      </c>
      <c r="I3" s="6">
        <v>7.7</v>
      </c>
      <c r="J3" s="48">
        <v>9.1999999999999993</v>
      </c>
      <c r="K3" s="39"/>
      <c r="L3" s="48"/>
      <c r="N3" s="40">
        <v>45992</v>
      </c>
      <c r="O3" s="41">
        <f>_xlfn.RANK.AVG(H3, H$3:H$46, 1)</f>
        <v>4.5</v>
      </c>
      <c r="P3">
        <f t="shared" ref="P3:Q3" si="0">_xlfn.RANK.AVG(I3, I$3:I$46, 1)</f>
        <v>5</v>
      </c>
      <c r="Q3" s="46">
        <f t="shared" si="0"/>
        <v>8.5</v>
      </c>
      <c r="R3">
        <f>(O3-P3)^2</f>
        <v>0.25</v>
      </c>
      <c r="S3">
        <f>(O3-Q3)^2</f>
        <v>16</v>
      </c>
      <c r="T3" s="46">
        <f>(P3-Q3)^2</f>
        <v>12.25</v>
      </c>
    </row>
    <row r="4" spans="1:20" x14ac:dyDescent="0.35">
      <c r="A4" s="39" t="s">
        <v>102</v>
      </c>
      <c r="B4" s="6" t="s">
        <v>923</v>
      </c>
      <c r="C4" s="6" t="s">
        <v>811</v>
      </c>
      <c r="D4" s="48" t="s">
        <v>556</v>
      </c>
      <c r="E4" s="50">
        <v>2025</v>
      </c>
      <c r="F4" s="53" t="s">
        <v>571</v>
      </c>
      <c r="G4" s="39">
        <v>73</v>
      </c>
      <c r="H4" s="6">
        <v>8.4</v>
      </c>
      <c r="I4" s="6">
        <v>6.5</v>
      </c>
      <c r="J4" s="48">
        <v>7.2</v>
      </c>
      <c r="K4" s="39"/>
      <c r="L4" s="48"/>
      <c r="N4" s="40">
        <v>45992</v>
      </c>
      <c r="O4" s="41">
        <f t="shared" ref="O4:O45" si="1">_xlfn.RANK.AVG(H4, H$3:H$46, 1)</f>
        <v>3</v>
      </c>
      <c r="P4">
        <f t="shared" ref="P4:P46" si="2">_xlfn.RANK.AVG(I4, I$3:I$46, 1)</f>
        <v>3</v>
      </c>
      <c r="Q4" s="46">
        <f t="shared" ref="Q4:Q46" si="3">_xlfn.RANK.AVG(J4, J$3:J$46, 1)</f>
        <v>3</v>
      </c>
      <c r="R4">
        <f t="shared" ref="R4:R46" si="4">(O4-P4)^2</f>
        <v>0</v>
      </c>
      <c r="S4">
        <f t="shared" ref="S4:S46" si="5">(O4-Q4)^2</f>
        <v>0</v>
      </c>
      <c r="T4" s="46">
        <f t="shared" ref="T4:T46" si="6">(P4-Q4)^2</f>
        <v>0</v>
      </c>
    </row>
    <row r="5" spans="1:20" x14ac:dyDescent="0.35">
      <c r="A5" s="39" t="s">
        <v>195</v>
      </c>
      <c r="B5" s="6" t="s">
        <v>279</v>
      </c>
      <c r="C5" s="6" t="s">
        <v>932</v>
      </c>
      <c r="D5" s="48" t="s">
        <v>948</v>
      </c>
      <c r="E5" s="50">
        <v>2025</v>
      </c>
      <c r="F5" s="53" t="s">
        <v>571</v>
      </c>
      <c r="G5" s="39">
        <v>100</v>
      </c>
      <c r="H5" s="6">
        <v>10</v>
      </c>
      <c r="I5" s="6">
        <v>10</v>
      </c>
      <c r="J5" s="48">
        <v>10</v>
      </c>
      <c r="K5" s="39"/>
      <c r="L5" s="48"/>
      <c r="N5" s="40">
        <v>45962</v>
      </c>
      <c r="O5" s="41">
        <f t="shared" si="1"/>
        <v>27.5</v>
      </c>
      <c r="P5">
        <f t="shared" si="2"/>
        <v>44</v>
      </c>
      <c r="Q5" s="46">
        <f t="shared" si="3"/>
        <v>43</v>
      </c>
      <c r="R5">
        <f t="shared" si="4"/>
        <v>272.25</v>
      </c>
      <c r="S5">
        <f t="shared" si="5"/>
        <v>240.25</v>
      </c>
      <c r="T5" s="46">
        <f t="shared" si="6"/>
        <v>1</v>
      </c>
    </row>
    <row r="6" spans="1:20" x14ac:dyDescent="0.35">
      <c r="A6" s="39" t="s">
        <v>29</v>
      </c>
      <c r="B6" s="6" t="s">
        <v>280</v>
      </c>
      <c r="C6" s="6" t="s">
        <v>933</v>
      </c>
      <c r="D6" s="48" t="s">
        <v>948</v>
      </c>
      <c r="E6" s="50">
        <v>2025</v>
      </c>
      <c r="F6" s="53" t="s">
        <v>571</v>
      </c>
      <c r="G6" s="39">
        <v>96</v>
      </c>
      <c r="H6" s="6">
        <v>9.6999999999999993</v>
      </c>
      <c r="I6" s="6">
        <v>9.5</v>
      </c>
      <c r="J6" s="48">
        <v>9.8000000000000007</v>
      </c>
      <c r="K6" s="39"/>
      <c r="L6" s="48"/>
      <c r="N6" s="40">
        <v>45962</v>
      </c>
      <c r="O6" s="41">
        <f t="shared" si="1"/>
        <v>10</v>
      </c>
      <c r="P6">
        <f t="shared" si="2"/>
        <v>32.5</v>
      </c>
      <c r="Q6" s="46">
        <f t="shared" si="3"/>
        <v>35.5</v>
      </c>
      <c r="R6">
        <f t="shared" si="4"/>
        <v>506.25</v>
      </c>
      <c r="S6">
        <f t="shared" si="5"/>
        <v>650.25</v>
      </c>
      <c r="T6" s="46">
        <f t="shared" si="6"/>
        <v>9</v>
      </c>
    </row>
    <row r="7" spans="1:20" x14ac:dyDescent="0.35">
      <c r="A7" s="39" t="s">
        <v>14</v>
      </c>
      <c r="B7" s="6" t="s">
        <v>391</v>
      </c>
      <c r="C7" s="6" t="s">
        <v>934</v>
      </c>
      <c r="D7" s="48" t="s">
        <v>301</v>
      </c>
      <c r="E7" s="50">
        <v>2025</v>
      </c>
      <c r="F7" s="53" t="s">
        <v>571</v>
      </c>
      <c r="G7" s="39">
        <v>84</v>
      </c>
      <c r="H7" s="6">
        <v>8.9</v>
      </c>
      <c r="I7" s="6">
        <v>7.6</v>
      </c>
      <c r="J7" s="48">
        <v>8.9</v>
      </c>
      <c r="K7" s="41"/>
      <c r="L7" s="46"/>
      <c r="N7" s="40">
        <v>45962</v>
      </c>
      <c r="O7" s="41">
        <f t="shared" si="1"/>
        <v>4.5</v>
      </c>
      <c r="P7">
        <f t="shared" si="2"/>
        <v>4</v>
      </c>
      <c r="Q7" s="46">
        <f t="shared" si="3"/>
        <v>6</v>
      </c>
      <c r="R7">
        <f t="shared" si="4"/>
        <v>0.25</v>
      </c>
      <c r="S7">
        <f t="shared" si="5"/>
        <v>2.25</v>
      </c>
      <c r="T7" s="46">
        <f t="shared" si="6"/>
        <v>4</v>
      </c>
    </row>
    <row r="8" spans="1:20" x14ac:dyDescent="0.35">
      <c r="A8" s="39" t="s">
        <v>746</v>
      </c>
      <c r="B8" s="6" t="s">
        <v>924</v>
      </c>
      <c r="C8" s="6" t="s">
        <v>936</v>
      </c>
      <c r="D8" s="48" t="s">
        <v>301</v>
      </c>
      <c r="E8" s="50">
        <v>2025</v>
      </c>
      <c r="F8" s="53" t="s">
        <v>571</v>
      </c>
      <c r="G8" s="39">
        <v>96</v>
      </c>
      <c r="H8" s="6">
        <v>9.6</v>
      </c>
      <c r="I8" s="6">
        <v>9.5</v>
      </c>
      <c r="J8" s="48">
        <v>0</v>
      </c>
      <c r="K8" s="39"/>
      <c r="L8" s="48"/>
      <c r="N8" s="40">
        <v>45901</v>
      </c>
      <c r="O8" s="41">
        <f t="shared" si="1"/>
        <v>9</v>
      </c>
      <c r="P8">
        <f t="shared" si="2"/>
        <v>32.5</v>
      </c>
      <c r="Q8" s="46">
        <f t="shared" si="3"/>
        <v>1</v>
      </c>
      <c r="R8">
        <f t="shared" si="4"/>
        <v>552.25</v>
      </c>
      <c r="S8">
        <f t="shared" si="5"/>
        <v>64</v>
      </c>
      <c r="T8" s="46">
        <f t="shared" si="6"/>
        <v>992.25</v>
      </c>
    </row>
    <row r="9" spans="1:20" x14ac:dyDescent="0.35">
      <c r="A9" s="39" t="s">
        <v>582</v>
      </c>
      <c r="B9" s="6" t="s">
        <v>925</v>
      </c>
      <c r="C9" s="6" t="s">
        <v>937</v>
      </c>
      <c r="D9" s="48" t="s">
        <v>948</v>
      </c>
      <c r="E9" s="50">
        <v>2025</v>
      </c>
      <c r="F9" s="53" t="s">
        <v>571</v>
      </c>
      <c r="G9" s="39">
        <v>95</v>
      </c>
      <c r="H9" s="6">
        <v>9.4</v>
      </c>
      <c r="I9" s="6">
        <v>9.6999999999999993</v>
      </c>
      <c r="J9" s="48">
        <v>9.6</v>
      </c>
      <c r="K9" s="39"/>
      <c r="L9" s="48"/>
      <c r="N9" s="40">
        <v>45901</v>
      </c>
      <c r="O9" s="41">
        <f t="shared" si="1"/>
        <v>8</v>
      </c>
      <c r="P9">
        <f t="shared" si="2"/>
        <v>40.5</v>
      </c>
      <c r="Q9" s="46">
        <f t="shared" si="3"/>
        <v>24.5</v>
      </c>
      <c r="R9">
        <f t="shared" si="4"/>
        <v>1056.25</v>
      </c>
      <c r="S9">
        <f t="shared" si="5"/>
        <v>272.25</v>
      </c>
      <c r="T9" s="46">
        <f t="shared" si="6"/>
        <v>256</v>
      </c>
    </row>
    <row r="10" spans="1:20" x14ac:dyDescent="0.35">
      <c r="A10" s="39" t="s">
        <v>34</v>
      </c>
      <c r="B10" s="6" t="s">
        <v>926</v>
      </c>
      <c r="C10" s="6" t="s">
        <v>938</v>
      </c>
      <c r="D10" s="48" t="s">
        <v>948</v>
      </c>
      <c r="E10" s="50">
        <v>2025</v>
      </c>
      <c r="F10" s="53" t="s">
        <v>571</v>
      </c>
      <c r="G10" s="39">
        <v>90</v>
      </c>
      <c r="H10" s="6">
        <v>9.1999999999999993</v>
      </c>
      <c r="I10" s="6">
        <v>8.1</v>
      </c>
      <c r="J10" s="48">
        <v>9.9</v>
      </c>
      <c r="K10" s="41"/>
      <c r="L10" s="46"/>
      <c r="N10" s="40">
        <v>45901</v>
      </c>
      <c r="O10" s="41">
        <f t="shared" si="1"/>
        <v>7</v>
      </c>
      <c r="P10">
        <f t="shared" si="2"/>
        <v>6</v>
      </c>
      <c r="Q10" s="46">
        <f t="shared" si="3"/>
        <v>40</v>
      </c>
      <c r="R10">
        <f t="shared" si="4"/>
        <v>1</v>
      </c>
      <c r="S10">
        <f t="shared" si="5"/>
        <v>1089</v>
      </c>
      <c r="T10" s="46">
        <f t="shared" si="6"/>
        <v>1156</v>
      </c>
    </row>
    <row r="11" spans="1:20" x14ac:dyDescent="0.35">
      <c r="A11" s="39" t="s">
        <v>96</v>
      </c>
      <c r="B11" s="6" t="s">
        <v>309</v>
      </c>
      <c r="C11" s="6" t="s">
        <v>939</v>
      </c>
      <c r="D11" s="48" t="s">
        <v>301</v>
      </c>
      <c r="E11" s="50">
        <v>2025</v>
      </c>
      <c r="F11" s="53" t="s">
        <v>571</v>
      </c>
      <c r="G11" s="39">
        <v>89</v>
      </c>
      <c r="H11" s="6">
        <v>9.1</v>
      </c>
      <c r="I11" s="6">
        <v>8.1999999999999993</v>
      </c>
      <c r="J11" s="48">
        <v>9.5</v>
      </c>
      <c r="K11" s="41"/>
      <c r="L11" s="46"/>
      <c r="N11" s="40">
        <v>45901</v>
      </c>
      <c r="O11" s="41">
        <f t="shared" si="1"/>
        <v>6</v>
      </c>
      <c r="P11">
        <f t="shared" si="2"/>
        <v>7</v>
      </c>
      <c r="Q11" s="46">
        <f t="shared" si="3"/>
        <v>17.5</v>
      </c>
      <c r="R11">
        <f t="shared" si="4"/>
        <v>1</v>
      </c>
      <c r="S11">
        <f t="shared" si="5"/>
        <v>132.25</v>
      </c>
      <c r="T11" s="46">
        <f t="shared" si="6"/>
        <v>110.25</v>
      </c>
    </row>
    <row r="12" spans="1:20" x14ac:dyDescent="0.35">
      <c r="A12" s="39" t="s">
        <v>81</v>
      </c>
      <c r="B12" s="6" t="s">
        <v>927</v>
      </c>
      <c r="C12" s="6" t="s">
        <v>940</v>
      </c>
      <c r="D12" s="48" t="s">
        <v>662</v>
      </c>
      <c r="E12" s="50">
        <v>2025</v>
      </c>
      <c r="F12" s="53" t="s">
        <v>571</v>
      </c>
      <c r="G12" s="39">
        <v>70</v>
      </c>
      <c r="H12" s="6">
        <v>7.8</v>
      </c>
      <c r="I12" s="6">
        <v>5.8</v>
      </c>
      <c r="J12" s="48">
        <v>7.6</v>
      </c>
      <c r="K12" s="41"/>
      <c r="L12" s="46"/>
      <c r="N12" s="40">
        <v>45901</v>
      </c>
      <c r="O12" s="41">
        <f t="shared" si="1"/>
        <v>2</v>
      </c>
      <c r="P12">
        <f t="shared" si="2"/>
        <v>2</v>
      </c>
      <c r="Q12" s="46">
        <f t="shared" si="3"/>
        <v>4</v>
      </c>
      <c r="R12">
        <f t="shared" si="4"/>
        <v>0</v>
      </c>
      <c r="S12">
        <f t="shared" si="5"/>
        <v>4</v>
      </c>
      <c r="T12" s="46">
        <f t="shared" si="6"/>
        <v>4</v>
      </c>
    </row>
    <row r="13" spans="1:20" x14ac:dyDescent="0.35">
      <c r="A13" s="39" t="s">
        <v>24</v>
      </c>
      <c r="B13" s="6" t="s">
        <v>472</v>
      </c>
      <c r="C13" s="6" t="s">
        <v>943</v>
      </c>
      <c r="D13" s="48" t="s">
        <v>556</v>
      </c>
      <c r="E13" s="50">
        <v>2025</v>
      </c>
      <c r="F13" s="53" t="s">
        <v>571</v>
      </c>
      <c r="G13" s="39">
        <v>56</v>
      </c>
      <c r="H13" s="6">
        <v>7.5</v>
      </c>
      <c r="I13" s="6">
        <v>4</v>
      </c>
      <c r="J13" s="48">
        <v>5.4</v>
      </c>
      <c r="K13" s="39"/>
      <c r="L13" s="48"/>
      <c r="N13" s="40">
        <v>45901</v>
      </c>
      <c r="O13" s="41">
        <f t="shared" si="1"/>
        <v>1</v>
      </c>
      <c r="P13">
        <f t="shared" si="2"/>
        <v>1</v>
      </c>
      <c r="Q13" s="46">
        <f t="shared" si="3"/>
        <v>2</v>
      </c>
      <c r="R13">
        <f t="shared" si="4"/>
        <v>0</v>
      </c>
      <c r="S13">
        <f t="shared" si="5"/>
        <v>1</v>
      </c>
      <c r="T13" s="46">
        <f t="shared" si="6"/>
        <v>1</v>
      </c>
    </row>
    <row r="14" spans="1:20" x14ac:dyDescent="0.35">
      <c r="A14" s="39" t="s">
        <v>738</v>
      </c>
      <c r="B14" s="6" t="s">
        <v>190</v>
      </c>
      <c r="C14" s="6" t="s">
        <v>778</v>
      </c>
      <c r="D14" s="48" t="s">
        <v>541</v>
      </c>
      <c r="E14" s="50">
        <v>2024</v>
      </c>
      <c r="F14" s="53" t="s">
        <v>571</v>
      </c>
      <c r="G14" s="39">
        <v>99</v>
      </c>
      <c r="H14" s="6">
        <v>10</v>
      </c>
      <c r="I14" s="6">
        <v>9.6999999999999993</v>
      </c>
      <c r="J14" s="48">
        <v>10</v>
      </c>
      <c r="K14" s="41">
        <v>401</v>
      </c>
      <c r="L14" s="46">
        <v>354</v>
      </c>
      <c r="N14" s="40">
        <v>45627</v>
      </c>
      <c r="O14" s="41">
        <f t="shared" si="1"/>
        <v>27.5</v>
      </c>
      <c r="P14">
        <f t="shared" si="2"/>
        <v>40.5</v>
      </c>
      <c r="Q14" s="46">
        <f t="shared" si="3"/>
        <v>43</v>
      </c>
      <c r="R14">
        <f t="shared" si="4"/>
        <v>169</v>
      </c>
      <c r="S14">
        <f t="shared" si="5"/>
        <v>240.25</v>
      </c>
      <c r="T14" s="46">
        <f t="shared" si="6"/>
        <v>6.25</v>
      </c>
    </row>
    <row r="15" spans="1:20" x14ac:dyDescent="0.35">
      <c r="A15" s="39" t="s">
        <v>29</v>
      </c>
      <c r="B15" s="6" t="s">
        <v>603</v>
      </c>
      <c r="C15" s="6" t="s">
        <v>778</v>
      </c>
      <c r="D15" s="48" t="s">
        <v>301</v>
      </c>
      <c r="E15" s="50">
        <v>2024</v>
      </c>
      <c r="F15" s="53" t="s">
        <v>571</v>
      </c>
      <c r="G15" s="39">
        <v>98</v>
      </c>
      <c r="H15" s="6">
        <v>10</v>
      </c>
      <c r="I15" s="6">
        <v>9.6999999999999993</v>
      </c>
      <c r="J15" s="48">
        <v>9.9</v>
      </c>
      <c r="K15" s="41">
        <v>511</v>
      </c>
      <c r="L15" s="46">
        <v>458</v>
      </c>
      <c r="N15" s="40">
        <v>45627</v>
      </c>
      <c r="O15" s="41">
        <f t="shared" si="1"/>
        <v>27.5</v>
      </c>
      <c r="P15">
        <f t="shared" si="2"/>
        <v>40.5</v>
      </c>
      <c r="Q15" s="46">
        <f t="shared" si="3"/>
        <v>40</v>
      </c>
      <c r="R15">
        <f t="shared" si="4"/>
        <v>169</v>
      </c>
      <c r="S15">
        <f t="shared" si="5"/>
        <v>156.25</v>
      </c>
      <c r="T15" s="46">
        <f t="shared" si="6"/>
        <v>0.25</v>
      </c>
    </row>
    <row r="16" spans="1:20" x14ac:dyDescent="0.35">
      <c r="A16" s="39" t="s">
        <v>91</v>
      </c>
      <c r="B16" s="6" t="s">
        <v>92</v>
      </c>
      <c r="C16" s="6" t="s">
        <v>780</v>
      </c>
      <c r="D16" s="48" t="s">
        <v>781</v>
      </c>
      <c r="E16" s="50">
        <v>2024</v>
      </c>
      <c r="F16" s="53" t="s">
        <v>571</v>
      </c>
      <c r="G16" s="39">
        <v>98</v>
      </c>
      <c r="H16" s="6">
        <v>10</v>
      </c>
      <c r="I16" s="6">
        <v>9.6999999999999993</v>
      </c>
      <c r="J16" s="48">
        <v>9.8000000000000007</v>
      </c>
      <c r="K16" s="41">
        <v>513</v>
      </c>
      <c r="L16" s="46">
        <v>409</v>
      </c>
      <c r="N16" s="40">
        <v>45627</v>
      </c>
      <c r="O16" s="41">
        <f t="shared" si="1"/>
        <v>27.5</v>
      </c>
      <c r="P16">
        <f t="shared" si="2"/>
        <v>40.5</v>
      </c>
      <c r="Q16" s="46">
        <f t="shared" si="3"/>
        <v>35.5</v>
      </c>
      <c r="R16">
        <f t="shared" si="4"/>
        <v>169</v>
      </c>
      <c r="S16">
        <f t="shared" si="5"/>
        <v>64</v>
      </c>
      <c r="T16" s="46">
        <f t="shared" si="6"/>
        <v>25</v>
      </c>
    </row>
    <row r="17" spans="1:20" x14ac:dyDescent="0.35">
      <c r="A17" s="39" t="s">
        <v>102</v>
      </c>
      <c r="B17" s="6" t="s">
        <v>739</v>
      </c>
      <c r="C17" s="6" t="s">
        <v>782</v>
      </c>
      <c r="D17" s="48" t="s">
        <v>301</v>
      </c>
      <c r="E17" s="50">
        <v>2024</v>
      </c>
      <c r="F17" s="53" t="s">
        <v>571</v>
      </c>
      <c r="G17" s="39">
        <v>96</v>
      </c>
      <c r="H17" s="6">
        <v>10</v>
      </c>
      <c r="I17" s="6">
        <v>9.3000000000000007</v>
      </c>
      <c r="J17" s="48">
        <v>9.6</v>
      </c>
      <c r="K17" s="39">
        <v>312</v>
      </c>
      <c r="L17" s="48">
        <v>244</v>
      </c>
      <c r="N17" s="40">
        <v>45627</v>
      </c>
      <c r="O17" s="41">
        <f t="shared" si="1"/>
        <v>27.5</v>
      </c>
      <c r="P17">
        <f t="shared" si="2"/>
        <v>21</v>
      </c>
      <c r="Q17" s="46">
        <f t="shared" si="3"/>
        <v>24.5</v>
      </c>
      <c r="R17">
        <f t="shared" si="4"/>
        <v>42.25</v>
      </c>
      <c r="S17">
        <f t="shared" si="5"/>
        <v>9</v>
      </c>
      <c r="T17" s="46">
        <f t="shared" si="6"/>
        <v>12.25</v>
      </c>
    </row>
    <row r="18" spans="1:20" x14ac:dyDescent="0.35">
      <c r="A18" s="39" t="s">
        <v>284</v>
      </c>
      <c r="B18" s="6" t="s">
        <v>285</v>
      </c>
      <c r="C18" s="6" t="s">
        <v>789</v>
      </c>
      <c r="D18" s="48" t="s">
        <v>632</v>
      </c>
      <c r="E18" s="50">
        <v>2024</v>
      </c>
      <c r="F18" s="53" t="s">
        <v>571</v>
      </c>
      <c r="G18" s="39">
        <v>97</v>
      </c>
      <c r="H18" s="6">
        <v>10</v>
      </c>
      <c r="I18" s="6">
        <v>9.4</v>
      </c>
      <c r="J18" s="48">
        <v>9.6999999999999993</v>
      </c>
      <c r="K18" s="39">
        <v>394</v>
      </c>
      <c r="L18" s="46">
        <v>299</v>
      </c>
      <c r="N18" s="40">
        <v>45597</v>
      </c>
      <c r="O18" s="41">
        <f t="shared" si="1"/>
        <v>27.5</v>
      </c>
      <c r="P18">
        <f t="shared" si="2"/>
        <v>27</v>
      </c>
      <c r="Q18" s="46">
        <f t="shared" si="3"/>
        <v>30.5</v>
      </c>
      <c r="R18">
        <f t="shared" si="4"/>
        <v>0.25</v>
      </c>
      <c r="S18">
        <f t="shared" si="5"/>
        <v>9</v>
      </c>
      <c r="T18" s="46">
        <f t="shared" si="6"/>
        <v>12.25</v>
      </c>
    </row>
    <row r="19" spans="1:20" x14ac:dyDescent="0.35">
      <c r="A19" s="39" t="s">
        <v>68</v>
      </c>
      <c r="B19" s="6" t="s">
        <v>334</v>
      </c>
      <c r="C19" s="6" t="s">
        <v>790</v>
      </c>
      <c r="D19" s="48" t="s">
        <v>301</v>
      </c>
      <c r="E19" s="50">
        <v>2024</v>
      </c>
      <c r="F19" s="53" t="s">
        <v>571</v>
      </c>
      <c r="G19" s="39">
        <v>94</v>
      </c>
      <c r="H19" s="6">
        <v>10</v>
      </c>
      <c r="I19" s="6">
        <v>9</v>
      </c>
      <c r="J19" s="48">
        <v>9.1999999999999993</v>
      </c>
      <c r="K19" s="39">
        <v>412</v>
      </c>
      <c r="L19" s="48">
        <v>331</v>
      </c>
      <c r="N19" s="40">
        <v>45597</v>
      </c>
      <c r="O19" s="41">
        <f t="shared" si="1"/>
        <v>27.5</v>
      </c>
      <c r="P19">
        <f t="shared" si="2"/>
        <v>10.5</v>
      </c>
      <c r="Q19" s="46">
        <f t="shared" si="3"/>
        <v>8.5</v>
      </c>
      <c r="R19">
        <f t="shared" si="4"/>
        <v>289</v>
      </c>
      <c r="S19">
        <f t="shared" si="5"/>
        <v>361</v>
      </c>
      <c r="T19" s="46">
        <f t="shared" si="6"/>
        <v>4</v>
      </c>
    </row>
    <row r="20" spans="1:20" x14ac:dyDescent="0.35">
      <c r="A20" s="39" t="s">
        <v>45</v>
      </c>
      <c r="B20" s="6" t="s">
        <v>413</v>
      </c>
      <c r="C20" s="6" t="s">
        <v>796</v>
      </c>
      <c r="D20" s="48" t="s">
        <v>301</v>
      </c>
      <c r="E20" s="50">
        <v>2024</v>
      </c>
      <c r="F20" s="53" t="s">
        <v>571</v>
      </c>
      <c r="G20" s="39">
        <v>97</v>
      </c>
      <c r="H20" s="6">
        <v>10</v>
      </c>
      <c r="I20" s="6">
        <v>9.4</v>
      </c>
      <c r="J20" s="48">
        <v>9.6999999999999993</v>
      </c>
      <c r="K20" s="39">
        <v>443</v>
      </c>
      <c r="L20" s="48">
        <v>362</v>
      </c>
      <c r="N20" s="40">
        <v>45536</v>
      </c>
      <c r="O20" s="41">
        <f t="shared" si="1"/>
        <v>27.5</v>
      </c>
      <c r="P20">
        <f t="shared" si="2"/>
        <v>27</v>
      </c>
      <c r="Q20" s="46">
        <f t="shared" si="3"/>
        <v>30.5</v>
      </c>
      <c r="R20">
        <f t="shared" si="4"/>
        <v>0.25</v>
      </c>
      <c r="S20">
        <f t="shared" si="5"/>
        <v>9</v>
      </c>
      <c r="T20" s="46">
        <f t="shared" si="6"/>
        <v>12.25</v>
      </c>
    </row>
    <row r="21" spans="1:20" x14ac:dyDescent="0.35">
      <c r="A21" s="39" t="s">
        <v>24</v>
      </c>
      <c r="B21" s="6" t="s">
        <v>80</v>
      </c>
      <c r="C21" s="6" t="s">
        <v>797</v>
      </c>
      <c r="D21" s="48" t="s">
        <v>781</v>
      </c>
      <c r="E21" s="50">
        <v>2024</v>
      </c>
      <c r="F21" s="53" t="s">
        <v>571</v>
      </c>
      <c r="G21" s="39">
        <v>94</v>
      </c>
      <c r="H21" s="6">
        <v>10</v>
      </c>
      <c r="I21" s="6">
        <v>9</v>
      </c>
      <c r="J21" s="48">
        <v>9.3000000000000007</v>
      </c>
      <c r="K21" s="39">
        <v>484</v>
      </c>
      <c r="L21" s="48">
        <v>379</v>
      </c>
      <c r="N21" s="40">
        <v>45536</v>
      </c>
      <c r="O21" s="41">
        <f t="shared" si="1"/>
        <v>27.5</v>
      </c>
      <c r="P21">
        <f t="shared" si="2"/>
        <v>10.5</v>
      </c>
      <c r="Q21" s="46">
        <f t="shared" si="3"/>
        <v>10.5</v>
      </c>
      <c r="R21">
        <f t="shared" si="4"/>
        <v>289</v>
      </c>
      <c r="S21">
        <f t="shared" si="5"/>
        <v>289</v>
      </c>
      <c r="T21" s="46">
        <f t="shared" si="6"/>
        <v>0</v>
      </c>
    </row>
    <row r="22" spans="1:20" x14ac:dyDescent="0.35">
      <c r="A22" s="39" t="s">
        <v>102</v>
      </c>
      <c r="B22" s="7" t="s">
        <v>745</v>
      </c>
      <c r="C22" s="6" t="s">
        <v>798</v>
      </c>
      <c r="D22" s="48" t="s">
        <v>301</v>
      </c>
      <c r="E22" s="50">
        <v>2024</v>
      </c>
      <c r="F22" s="53" t="s">
        <v>571</v>
      </c>
      <c r="G22" s="39">
        <v>93</v>
      </c>
      <c r="H22" s="6">
        <v>10</v>
      </c>
      <c r="I22" s="6">
        <v>8.9</v>
      </c>
      <c r="J22" s="48">
        <v>9.1</v>
      </c>
      <c r="K22" s="39">
        <v>500</v>
      </c>
      <c r="L22" s="48">
        <v>423</v>
      </c>
      <c r="N22" s="40">
        <v>45536</v>
      </c>
      <c r="O22" s="41">
        <f t="shared" si="1"/>
        <v>27.5</v>
      </c>
      <c r="P22">
        <f t="shared" si="2"/>
        <v>9</v>
      </c>
      <c r="Q22" s="46">
        <f t="shared" si="3"/>
        <v>7</v>
      </c>
      <c r="R22">
        <f t="shared" si="4"/>
        <v>342.25</v>
      </c>
      <c r="S22">
        <f t="shared" si="5"/>
        <v>420.25</v>
      </c>
      <c r="T22" s="46">
        <f t="shared" si="6"/>
        <v>4</v>
      </c>
    </row>
    <row r="23" spans="1:20" x14ac:dyDescent="0.35">
      <c r="A23" s="39" t="s">
        <v>596</v>
      </c>
      <c r="B23" s="6" t="s">
        <v>597</v>
      </c>
      <c r="C23" s="6" t="s">
        <v>804</v>
      </c>
      <c r="D23" s="48" t="s">
        <v>301</v>
      </c>
      <c r="E23" s="50">
        <v>2024</v>
      </c>
      <c r="F23" s="53" t="s">
        <v>571</v>
      </c>
      <c r="G23" s="39">
        <v>96</v>
      </c>
      <c r="H23" s="6">
        <v>10</v>
      </c>
      <c r="I23" s="6">
        <v>9.3000000000000007</v>
      </c>
      <c r="J23" s="48">
        <v>9.6</v>
      </c>
      <c r="K23" s="39">
        <v>446.5</v>
      </c>
      <c r="L23" s="48">
        <v>353</v>
      </c>
      <c r="N23" s="40">
        <v>45413</v>
      </c>
      <c r="O23" s="41">
        <f t="shared" si="1"/>
        <v>27.5</v>
      </c>
      <c r="P23">
        <f t="shared" si="2"/>
        <v>21</v>
      </c>
      <c r="Q23" s="46">
        <f t="shared" si="3"/>
        <v>24.5</v>
      </c>
      <c r="R23">
        <f t="shared" si="4"/>
        <v>42.25</v>
      </c>
      <c r="S23">
        <f t="shared" si="5"/>
        <v>9</v>
      </c>
      <c r="T23" s="46">
        <f t="shared" si="6"/>
        <v>12.25</v>
      </c>
    </row>
    <row r="24" spans="1:20" x14ac:dyDescent="0.35">
      <c r="A24" s="39" t="s">
        <v>596</v>
      </c>
      <c r="B24" s="6" t="s">
        <v>685</v>
      </c>
      <c r="C24" s="6" t="s">
        <v>804</v>
      </c>
      <c r="D24" s="48" t="s">
        <v>662</v>
      </c>
      <c r="E24" s="50">
        <v>2024</v>
      </c>
      <c r="F24" s="53" t="s">
        <v>571</v>
      </c>
      <c r="G24" s="39">
        <v>95</v>
      </c>
      <c r="H24" s="6">
        <v>10</v>
      </c>
      <c r="I24" s="6">
        <v>9.1999999999999993</v>
      </c>
      <c r="J24" s="48">
        <v>9.5</v>
      </c>
      <c r="K24" s="39">
        <v>620</v>
      </c>
      <c r="L24" s="48">
        <v>529</v>
      </c>
      <c r="N24" s="40">
        <v>45413</v>
      </c>
      <c r="O24" s="41">
        <f t="shared" si="1"/>
        <v>27.5</v>
      </c>
      <c r="P24">
        <f t="shared" si="2"/>
        <v>15.5</v>
      </c>
      <c r="Q24" s="46">
        <f t="shared" si="3"/>
        <v>17.5</v>
      </c>
      <c r="R24">
        <f t="shared" si="4"/>
        <v>144</v>
      </c>
      <c r="S24">
        <f t="shared" si="5"/>
        <v>100</v>
      </c>
      <c r="T24" s="46">
        <f t="shared" si="6"/>
        <v>4</v>
      </c>
    </row>
    <row r="25" spans="1:20" x14ac:dyDescent="0.35">
      <c r="A25" s="39" t="s">
        <v>14</v>
      </c>
      <c r="B25" s="6" t="s">
        <v>120</v>
      </c>
      <c r="C25" s="6" t="s">
        <v>805</v>
      </c>
      <c r="D25" s="48" t="s">
        <v>781</v>
      </c>
      <c r="E25" s="50">
        <v>2024</v>
      </c>
      <c r="F25" s="53" t="s">
        <v>571</v>
      </c>
      <c r="G25" s="39">
        <v>98</v>
      </c>
      <c r="H25" s="6">
        <v>10</v>
      </c>
      <c r="I25" s="6">
        <v>9.6</v>
      </c>
      <c r="J25" s="48">
        <v>9.8000000000000007</v>
      </c>
      <c r="K25" s="41">
        <v>611</v>
      </c>
      <c r="L25" s="46">
        <v>491</v>
      </c>
      <c r="N25" s="40">
        <v>45352</v>
      </c>
      <c r="O25" s="41">
        <f t="shared" si="1"/>
        <v>27.5</v>
      </c>
      <c r="P25">
        <f t="shared" si="2"/>
        <v>36.5</v>
      </c>
      <c r="Q25" s="46">
        <f t="shared" si="3"/>
        <v>35.5</v>
      </c>
      <c r="R25">
        <f t="shared" si="4"/>
        <v>81</v>
      </c>
      <c r="S25">
        <f t="shared" si="5"/>
        <v>64</v>
      </c>
      <c r="T25" s="46">
        <f t="shared" si="6"/>
        <v>1</v>
      </c>
    </row>
    <row r="26" spans="1:20" x14ac:dyDescent="0.35">
      <c r="A26" s="39" t="s">
        <v>591</v>
      </c>
      <c r="B26" s="6" t="s">
        <v>748</v>
      </c>
      <c r="C26" s="6" t="s">
        <v>806</v>
      </c>
      <c r="D26" s="48" t="s">
        <v>556</v>
      </c>
      <c r="E26" s="50">
        <v>2024</v>
      </c>
      <c r="F26" s="53" t="s">
        <v>571</v>
      </c>
      <c r="G26" s="39">
        <v>96</v>
      </c>
      <c r="H26" s="6">
        <v>10</v>
      </c>
      <c r="I26" s="6">
        <v>9.4</v>
      </c>
      <c r="J26" s="48">
        <v>9.6</v>
      </c>
      <c r="K26" s="41">
        <v>451</v>
      </c>
      <c r="L26" s="46">
        <v>537</v>
      </c>
      <c r="N26" s="40">
        <v>45352</v>
      </c>
      <c r="O26" s="41">
        <f t="shared" si="1"/>
        <v>27.5</v>
      </c>
      <c r="P26">
        <f t="shared" si="2"/>
        <v>27</v>
      </c>
      <c r="Q26" s="46">
        <f t="shared" si="3"/>
        <v>24.5</v>
      </c>
      <c r="R26">
        <f t="shared" si="4"/>
        <v>0.25</v>
      </c>
      <c r="S26">
        <f t="shared" si="5"/>
        <v>9</v>
      </c>
      <c r="T26" s="46">
        <f t="shared" si="6"/>
        <v>6.25</v>
      </c>
    </row>
    <row r="27" spans="1:20" x14ac:dyDescent="0.35">
      <c r="A27" s="39" t="s">
        <v>102</v>
      </c>
      <c r="B27" s="6" t="s">
        <v>609</v>
      </c>
      <c r="C27" s="6" t="s">
        <v>798</v>
      </c>
      <c r="D27" s="48" t="s">
        <v>785</v>
      </c>
      <c r="E27" s="50">
        <v>2024</v>
      </c>
      <c r="F27" s="53" t="s">
        <v>571</v>
      </c>
      <c r="G27" s="39">
        <v>98</v>
      </c>
      <c r="H27" s="6">
        <v>10</v>
      </c>
      <c r="I27" s="6">
        <v>9.6</v>
      </c>
      <c r="J27" s="48">
        <v>9.9</v>
      </c>
      <c r="K27" s="41">
        <v>427</v>
      </c>
      <c r="L27" s="46">
        <v>365</v>
      </c>
      <c r="N27" s="40">
        <v>45323</v>
      </c>
      <c r="O27" s="41">
        <f t="shared" si="1"/>
        <v>27.5</v>
      </c>
      <c r="P27">
        <f t="shared" si="2"/>
        <v>36.5</v>
      </c>
      <c r="Q27" s="46">
        <f t="shared" si="3"/>
        <v>40</v>
      </c>
      <c r="R27">
        <f t="shared" si="4"/>
        <v>81</v>
      </c>
      <c r="S27">
        <f t="shared" si="5"/>
        <v>156.25</v>
      </c>
      <c r="T27" s="46">
        <f t="shared" si="6"/>
        <v>12.25</v>
      </c>
    </row>
    <row r="28" spans="1:20" x14ac:dyDescent="0.35">
      <c r="A28" s="39" t="s">
        <v>29</v>
      </c>
      <c r="B28" s="6" t="s">
        <v>749</v>
      </c>
      <c r="C28" s="6" t="s">
        <v>809</v>
      </c>
      <c r="D28" s="48" t="s">
        <v>781</v>
      </c>
      <c r="E28" s="50">
        <v>2024</v>
      </c>
      <c r="F28" s="53" t="s">
        <v>571</v>
      </c>
      <c r="G28" s="39">
        <v>98</v>
      </c>
      <c r="H28" s="6">
        <v>10</v>
      </c>
      <c r="I28" s="6">
        <v>9.6</v>
      </c>
      <c r="J28" s="48">
        <v>9.8000000000000007</v>
      </c>
      <c r="K28" s="39">
        <v>583</v>
      </c>
      <c r="L28" s="48">
        <v>461</v>
      </c>
      <c r="N28" s="40">
        <v>45323</v>
      </c>
      <c r="O28" s="41">
        <f t="shared" si="1"/>
        <v>27.5</v>
      </c>
      <c r="P28">
        <f t="shared" si="2"/>
        <v>36.5</v>
      </c>
      <c r="Q28" s="46">
        <f t="shared" si="3"/>
        <v>35.5</v>
      </c>
      <c r="R28">
        <f t="shared" si="4"/>
        <v>81</v>
      </c>
      <c r="S28">
        <f t="shared" si="5"/>
        <v>64</v>
      </c>
      <c r="T28" s="46">
        <f t="shared" si="6"/>
        <v>1</v>
      </c>
    </row>
    <row r="29" spans="1:20" x14ac:dyDescent="0.35">
      <c r="A29" s="39" t="s">
        <v>37</v>
      </c>
      <c r="B29" s="6" t="s">
        <v>101</v>
      </c>
      <c r="C29" s="6" t="s">
        <v>810</v>
      </c>
      <c r="D29" s="48" t="s">
        <v>781</v>
      </c>
      <c r="E29" s="50">
        <v>2024</v>
      </c>
      <c r="F29" s="53" t="s">
        <v>571</v>
      </c>
      <c r="G29" s="39">
        <v>96</v>
      </c>
      <c r="H29" s="6">
        <v>10</v>
      </c>
      <c r="I29" s="6">
        <v>9.3000000000000007</v>
      </c>
      <c r="J29" s="48">
        <v>9.5</v>
      </c>
      <c r="K29" s="41">
        <v>446</v>
      </c>
      <c r="L29" s="46">
        <v>378</v>
      </c>
      <c r="N29" s="40">
        <v>45323</v>
      </c>
      <c r="O29" s="41">
        <f t="shared" si="1"/>
        <v>27.5</v>
      </c>
      <c r="P29">
        <f t="shared" si="2"/>
        <v>21</v>
      </c>
      <c r="Q29" s="46">
        <f t="shared" si="3"/>
        <v>17.5</v>
      </c>
      <c r="R29">
        <f t="shared" si="4"/>
        <v>42.25</v>
      </c>
      <c r="S29">
        <f t="shared" si="5"/>
        <v>100</v>
      </c>
      <c r="T29" s="46">
        <f t="shared" si="6"/>
        <v>12.25</v>
      </c>
    </row>
    <row r="30" spans="1:20" x14ac:dyDescent="0.35">
      <c r="A30" s="39" t="s">
        <v>10</v>
      </c>
      <c r="B30" s="6" t="s">
        <v>775</v>
      </c>
      <c r="C30" s="6" t="s">
        <v>811</v>
      </c>
      <c r="D30" s="48" t="s">
        <v>785</v>
      </c>
      <c r="E30" s="50">
        <v>2024</v>
      </c>
      <c r="F30" s="53" t="s">
        <v>571</v>
      </c>
      <c r="G30" s="39">
        <v>95</v>
      </c>
      <c r="H30" s="6">
        <v>10</v>
      </c>
      <c r="I30" s="6">
        <v>9.1999999999999993</v>
      </c>
      <c r="J30" s="48">
        <v>9.4</v>
      </c>
      <c r="K30" s="41">
        <v>450</v>
      </c>
      <c r="L30" s="46">
        <v>366</v>
      </c>
      <c r="N30" s="40">
        <v>45323</v>
      </c>
      <c r="O30" s="41">
        <f t="shared" si="1"/>
        <v>27.5</v>
      </c>
      <c r="P30">
        <f t="shared" si="2"/>
        <v>15.5</v>
      </c>
      <c r="Q30" s="46">
        <f t="shared" si="3"/>
        <v>13</v>
      </c>
      <c r="R30">
        <f t="shared" si="4"/>
        <v>144</v>
      </c>
      <c r="S30">
        <f t="shared" si="5"/>
        <v>210.25</v>
      </c>
      <c r="T30" s="46">
        <f t="shared" si="6"/>
        <v>6.25</v>
      </c>
    </row>
    <row r="31" spans="1:20" x14ac:dyDescent="0.35">
      <c r="A31" s="39" t="s">
        <v>605</v>
      </c>
      <c r="B31" s="6" t="s">
        <v>344</v>
      </c>
      <c r="C31" s="6" t="s">
        <v>812</v>
      </c>
      <c r="D31" s="48" t="s">
        <v>785</v>
      </c>
      <c r="E31" s="50">
        <v>2024</v>
      </c>
      <c r="F31" s="53" t="s">
        <v>571</v>
      </c>
      <c r="G31" s="39">
        <v>95</v>
      </c>
      <c r="H31" s="6">
        <v>10</v>
      </c>
      <c r="I31" s="6">
        <v>9.1999999999999993</v>
      </c>
      <c r="J31" s="48">
        <v>9.4</v>
      </c>
      <c r="K31" s="41">
        <v>435</v>
      </c>
      <c r="L31" s="46">
        <v>359</v>
      </c>
      <c r="N31" s="40">
        <v>45323</v>
      </c>
      <c r="O31" s="41">
        <f t="shared" si="1"/>
        <v>27.5</v>
      </c>
      <c r="P31">
        <f t="shared" si="2"/>
        <v>15.5</v>
      </c>
      <c r="Q31" s="46">
        <f t="shared" si="3"/>
        <v>13</v>
      </c>
      <c r="R31">
        <f t="shared" si="4"/>
        <v>144</v>
      </c>
      <c r="S31">
        <f t="shared" si="5"/>
        <v>210.25</v>
      </c>
      <c r="T31" s="46">
        <f t="shared" si="6"/>
        <v>6.25</v>
      </c>
    </row>
    <row r="32" spans="1:20" x14ac:dyDescent="0.35">
      <c r="A32" s="39" t="s">
        <v>587</v>
      </c>
      <c r="B32" s="6" t="s">
        <v>608</v>
      </c>
      <c r="C32" s="6" t="s">
        <v>814</v>
      </c>
      <c r="D32" s="48" t="s">
        <v>556</v>
      </c>
      <c r="E32" s="50">
        <v>2023</v>
      </c>
      <c r="F32" s="53" t="s">
        <v>571</v>
      </c>
      <c r="G32" s="39">
        <v>95</v>
      </c>
      <c r="H32" s="6">
        <v>10</v>
      </c>
      <c r="I32" s="6">
        <v>9.1999999999999993</v>
      </c>
      <c r="J32" s="48">
        <v>9.4</v>
      </c>
      <c r="K32" s="39">
        <v>570</v>
      </c>
      <c r="L32" s="48">
        <v>522</v>
      </c>
      <c r="N32" s="40">
        <v>45261</v>
      </c>
      <c r="O32" s="41">
        <f t="shared" si="1"/>
        <v>27.5</v>
      </c>
      <c r="P32">
        <f t="shared" si="2"/>
        <v>15.5</v>
      </c>
      <c r="Q32" s="46">
        <f t="shared" si="3"/>
        <v>13</v>
      </c>
      <c r="R32">
        <f t="shared" si="4"/>
        <v>144</v>
      </c>
      <c r="S32">
        <f t="shared" si="5"/>
        <v>210.25</v>
      </c>
      <c r="T32" s="46">
        <f t="shared" si="6"/>
        <v>6.25</v>
      </c>
    </row>
    <row r="33" spans="1:20" x14ac:dyDescent="0.35">
      <c r="A33" s="39" t="s">
        <v>91</v>
      </c>
      <c r="B33" s="6" t="s">
        <v>126</v>
      </c>
      <c r="C33" s="6" t="s">
        <v>815</v>
      </c>
      <c r="D33" s="48" t="s">
        <v>662</v>
      </c>
      <c r="E33" s="50">
        <v>2023</v>
      </c>
      <c r="F33" s="53" t="s">
        <v>571</v>
      </c>
      <c r="G33" s="39">
        <v>97</v>
      </c>
      <c r="H33" s="6">
        <v>10</v>
      </c>
      <c r="I33" s="6">
        <v>9.4</v>
      </c>
      <c r="J33" s="48">
        <v>9.6999999999999993</v>
      </c>
      <c r="K33" s="41">
        <v>634</v>
      </c>
      <c r="L33" s="46">
        <v>554</v>
      </c>
      <c r="N33" s="40">
        <v>45231</v>
      </c>
      <c r="O33" s="41">
        <f t="shared" si="1"/>
        <v>27.5</v>
      </c>
      <c r="P33">
        <f t="shared" si="2"/>
        <v>27</v>
      </c>
      <c r="Q33" s="46">
        <f t="shared" si="3"/>
        <v>30.5</v>
      </c>
      <c r="R33">
        <f t="shared" si="4"/>
        <v>0.25</v>
      </c>
      <c r="S33">
        <f t="shared" si="5"/>
        <v>9</v>
      </c>
      <c r="T33" s="46">
        <f t="shared" si="6"/>
        <v>12.25</v>
      </c>
    </row>
    <row r="34" spans="1:20" x14ac:dyDescent="0.35">
      <c r="A34" s="39" t="s">
        <v>10</v>
      </c>
      <c r="B34" s="6" t="s">
        <v>584</v>
      </c>
      <c r="C34" s="6" t="s">
        <v>816</v>
      </c>
      <c r="D34" s="48" t="s">
        <v>785</v>
      </c>
      <c r="E34" s="50">
        <v>2023</v>
      </c>
      <c r="F34" s="53" t="s">
        <v>571</v>
      </c>
      <c r="G34" s="39">
        <v>95</v>
      </c>
      <c r="H34" s="6">
        <v>10</v>
      </c>
      <c r="I34" s="6">
        <v>9.1999999999999993</v>
      </c>
      <c r="J34" s="48">
        <v>9.5</v>
      </c>
      <c r="K34" s="41">
        <v>379</v>
      </c>
      <c r="L34" s="46">
        <v>297</v>
      </c>
      <c r="N34" s="40">
        <v>45231</v>
      </c>
      <c r="O34" s="41">
        <f t="shared" si="1"/>
        <v>27.5</v>
      </c>
      <c r="P34">
        <f t="shared" si="2"/>
        <v>15.5</v>
      </c>
      <c r="Q34" s="46">
        <f t="shared" si="3"/>
        <v>17.5</v>
      </c>
      <c r="R34">
        <f t="shared" si="4"/>
        <v>144</v>
      </c>
      <c r="S34">
        <f t="shared" si="5"/>
        <v>100</v>
      </c>
      <c r="T34" s="46">
        <f t="shared" si="6"/>
        <v>4</v>
      </c>
    </row>
    <row r="35" spans="1:20" x14ac:dyDescent="0.35">
      <c r="A35" s="39" t="s">
        <v>106</v>
      </c>
      <c r="B35" s="6" t="s">
        <v>492</v>
      </c>
      <c r="C35" s="6" t="s">
        <v>817</v>
      </c>
      <c r="D35" s="48" t="s">
        <v>632</v>
      </c>
      <c r="E35" s="50">
        <v>2023</v>
      </c>
      <c r="F35" s="53" t="s">
        <v>571</v>
      </c>
      <c r="G35" s="39">
        <v>90</v>
      </c>
      <c r="H35" s="6">
        <v>10</v>
      </c>
      <c r="I35" s="6">
        <v>8.5</v>
      </c>
      <c r="J35" s="48">
        <v>8.6999999999999993</v>
      </c>
      <c r="K35" s="41">
        <v>272</v>
      </c>
      <c r="L35" s="46">
        <v>217</v>
      </c>
      <c r="N35" s="40">
        <v>45231</v>
      </c>
      <c r="O35" s="41">
        <f t="shared" si="1"/>
        <v>27.5</v>
      </c>
      <c r="P35">
        <f t="shared" si="2"/>
        <v>8</v>
      </c>
      <c r="Q35" s="46">
        <f t="shared" si="3"/>
        <v>5</v>
      </c>
      <c r="R35">
        <f t="shared" si="4"/>
        <v>380.25</v>
      </c>
      <c r="S35">
        <f t="shared" si="5"/>
        <v>506.25</v>
      </c>
      <c r="T35" s="46">
        <f t="shared" si="6"/>
        <v>9</v>
      </c>
    </row>
    <row r="36" spans="1:20" x14ac:dyDescent="0.35">
      <c r="A36" s="39" t="s">
        <v>102</v>
      </c>
      <c r="B36" s="6" t="s">
        <v>752</v>
      </c>
      <c r="C36" s="6" t="s">
        <v>822</v>
      </c>
      <c r="D36" s="48" t="s">
        <v>785</v>
      </c>
      <c r="E36" s="50">
        <v>2023</v>
      </c>
      <c r="F36" s="53" t="s">
        <v>571</v>
      </c>
      <c r="G36" s="39">
        <v>97</v>
      </c>
      <c r="H36" s="6">
        <v>10</v>
      </c>
      <c r="I36" s="6">
        <v>9.5</v>
      </c>
      <c r="J36" s="48">
        <v>9.6999999999999993</v>
      </c>
      <c r="K36" s="41">
        <v>420</v>
      </c>
      <c r="L36" s="46">
        <v>333</v>
      </c>
      <c r="N36" s="40">
        <v>45170</v>
      </c>
      <c r="O36" s="41">
        <f t="shared" si="1"/>
        <v>27.5</v>
      </c>
      <c r="P36">
        <f t="shared" si="2"/>
        <v>32.5</v>
      </c>
      <c r="Q36" s="46">
        <f t="shared" si="3"/>
        <v>30.5</v>
      </c>
      <c r="R36">
        <f t="shared" si="4"/>
        <v>25</v>
      </c>
      <c r="S36">
        <f t="shared" si="5"/>
        <v>9</v>
      </c>
      <c r="T36" s="46">
        <f t="shared" si="6"/>
        <v>4</v>
      </c>
    </row>
    <row r="37" spans="1:20" x14ac:dyDescent="0.35">
      <c r="A37" s="39" t="s">
        <v>753</v>
      </c>
      <c r="B37" s="6" t="s">
        <v>754</v>
      </c>
      <c r="C37" s="6" t="s">
        <v>823</v>
      </c>
      <c r="D37" s="48" t="s">
        <v>785</v>
      </c>
      <c r="E37" s="50">
        <v>2023</v>
      </c>
      <c r="F37" s="53" t="s">
        <v>571</v>
      </c>
      <c r="G37" s="39">
        <v>97</v>
      </c>
      <c r="H37" s="6">
        <v>10</v>
      </c>
      <c r="I37" s="6">
        <v>9.5</v>
      </c>
      <c r="J37" s="48">
        <v>9.8000000000000007</v>
      </c>
      <c r="K37" s="41">
        <v>420</v>
      </c>
      <c r="L37" s="46">
        <v>378</v>
      </c>
      <c r="N37" s="40">
        <v>45170</v>
      </c>
      <c r="O37" s="41">
        <f t="shared" si="1"/>
        <v>27.5</v>
      </c>
      <c r="P37">
        <f t="shared" si="2"/>
        <v>32.5</v>
      </c>
      <c r="Q37" s="46">
        <f t="shared" si="3"/>
        <v>35.5</v>
      </c>
      <c r="R37">
        <f t="shared" si="4"/>
        <v>25</v>
      </c>
      <c r="S37">
        <f t="shared" si="5"/>
        <v>64</v>
      </c>
      <c r="T37" s="46">
        <f t="shared" si="6"/>
        <v>9</v>
      </c>
    </row>
    <row r="38" spans="1:20" x14ac:dyDescent="0.35">
      <c r="A38" s="39" t="s">
        <v>14</v>
      </c>
      <c r="B38" s="6" t="s">
        <v>397</v>
      </c>
      <c r="C38" s="6" t="s">
        <v>831</v>
      </c>
      <c r="D38" s="48" t="s">
        <v>301</v>
      </c>
      <c r="E38" s="50">
        <v>2023</v>
      </c>
      <c r="F38" s="53" t="s">
        <v>571</v>
      </c>
      <c r="G38" s="39">
        <v>96</v>
      </c>
      <c r="H38" s="6">
        <v>10</v>
      </c>
      <c r="I38" s="6">
        <v>9.4</v>
      </c>
      <c r="J38" s="48">
        <v>9.6</v>
      </c>
      <c r="K38" s="39">
        <v>501</v>
      </c>
      <c r="L38" s="48">
        <v>476</v>
      </c>
      <c r="N38" s="40">
        <v>45078</v>
      </c>
      <c r="O38" s="41">
        <f t="shared" si="1"/>
        <v>27.5</v>
      </c>
      <c r="P38">
        <f t="shared" si="2"/>
        <v>27</v>
      </c>
      <c r="Q38" s="46">
        <f t="shared" si="3"/>
        <v>24.5</v>
      </c>
      <c r="R38">
        <f t="shared" si="4"/>
        <v>0.25</v>
      </c>
      <c r="S38">
        <f t="shared" si="5"/>
        <v>9</v>
      </c>
      <c r="T38" s="46">
        <f t="shared" si="6"/>
        <v>6.25</v>
      </c>
    </row>
    <row r="39" spans="1:20" x14ac:dyDescent="0.35">
      <c r="A39" s="39" t="s">
        <v>62</v>
      </c>
      <c r="B39" s="6" t="s">
        <v>393</v>
      </c>
      <c r="C39" s="6" t="s">
        <v>836</v>
      </c>
      <c r="D39" s="48" t="s">
        <v>301</v>
      </c>
      <c r="E39" s="50">
        <v>2023</v>
      </c>
      <c r="F39" s="53" t="s">
        <v>571</v>
      </c>
      <c r="G39" s="39">
        <v>96</v>
      </c>
      <c r="H39" s="6">
        <v>10</v>
      </c>
      <c r="I39" s="6">
        <v>9.3000000000000007</v>
      </c>
      <c r="J39" s="48">
        <v>9.5</v>
      </c>
      <c r="K39" s="39">
        <v>529</v>
      </c>
      <c r="L39" s="48">
        <v>462</v>
      </c>
      <c r="N39" s="40">
        <v>45017</v>
      </c>
      <c r="O39" s="41">
        <f t="shared" si="1"/>
        <v>27.5</v>
      </c>
      <c r="P39">
        <f t="shared" si="2"/>
        <v>21</v>
      </c>
      <c r="Q39" s="46">
        <f t="shared" si="3"/>
        <v>17.5</v>
      </c>
      <c r="R39">
        <f t="shared" si="4"/>
        <v>42.25</v>
      </c>
      <c r="S39">
        <f t="shared" si="5"/>
        <v>100</v>
      </c>
      <c r="T39" s="46">
        <f t="shared" si="6"/>
        <v>12.25</v>
      </c>
    </row>
    <row r="40" spans="1:20" x14ac:dyDescent="0.35">
      <c r="A40" s="39" t="s">
        <v>29</v>
      </c>
      <c r="B40" s="6" t="s">
        <v>763</v>
      </c>
      <c r="C40" s="6" t="s">
        <v>851</v>
      </c>
      <c r="D40" s="48" t="s">
        <v>301</v>
      </c>
      <c r="E40" s="50">
        <v>2022</v>
      </c>
      <c r="F40" s="53" t="s">
        <v>571</v>
      </c>
      <c r="G40" s="39">
        <v>94</v>
      </c>
      <c r="H40" s="6">
        <v>10</v>
      </c>
      <c r="I40" s="6">
        <v>9.1</v>
      </c>
      <c r="J40" s="48">
        <v>9.3000000000000007</v>
      </c>
      <c r="K40" s="41">
        <v>384</v>
      </c>
      <c r="L40" s="46">
        <v>311</v>
      </c>
      <c r="N40" s="40">
        <v>44866</v>
      </c>
      <c r="O40" s="41">
        <f t="shared" si="1"/>
        <v>27.5</v>
      </c>
      <c r="P40">
        <f t="shared" si="2"/>
        <v>12</v>
      </c>
      <c r="Q40" s="46">
        <f t="shared" si="3"/>
        <v>10.5</v>
      </c>
      <c r="R40">
        <f t="shared" si="4"/>
        <v>240.25</v>
      </c>
      <c r="S40">
        <f t="shared" si="5"/>
        <v>289</v>
      </c>
      <c r="T40" s="46">
        <f t="shared" si="6"/>
        <v>2.25</v>
      </c>
    </row>
    <row r="41" spans="1:20" x14ac:dyDescent="0.35">
      <c r="A41" s="39" t="s">
        <v>91</v>
      </c>
      <c r="B41" s="6" t="s">
        <v>92</v>
      </c>
      <c r="C41" s="6" t="s">
        <v>854</v>
      </c>
      <c r="D41" s="48" t="s">
        <v>781</v>
      </c>
      <c r="E41" s="50">
        <v>2022</v>
      </c>
      <c r="F41" s="53" t="s">
        <v>571</v>
      </c>
      <c r="G41" s="39">
        <v>98</v>
      </c>
      <c r="H41" s="6">
        <v>10</v>
      </c>
      <c r="I41" s="6">
        <v>9.6</v>
      </c>
      <c r="J41" s="48">
        <v>9.8000000000000007</v>
      </c>
      <c r="K41" s="41">
        <v>491</v>
      </c>
      <c r="L41" s="46">
        <v>390</v>
      </c>
      <c r="N41" s="40">
        <v>44866</v>
      </c>
      <c r="O41" s="41">
        <f t="shared" si="1"/>
        <v>27.5</v>
      </c>
      <c r="P41">
        <f t="shared" si="2"/>
        <v>36.5</v>
      </c>
      <c r="Q41" s="46">
        <f t="shared" si="3"/>
        <v>35.5</v>
      </c>
      <c r="R41">
        <f t="shared" si="4"/>
        <v>81</v>
      </c>
      <c r="S41">
        <f t="shared" si="5"/>
        <v>64</v>
      </c>
      <c r="T41" s="46">
        <f t="shared" si="6"/>
        <v>1</v>
      </c>
    </row>
    <row r="42" spans="1:20" x14ac:dyDescent="0.35">
      <c r="A42" s="41" t="s">
        <v>598</v>
      </c>
      <c r="B42" t="s">
        <v>764</v>
      </c>
      <c r="C42" t="s">
        <v>855</v>
      </c>
      <c r="D42" s="46" t="s">
        <v>662</v>
      </c>
      <c r="E42" s="13">
        <v>2022</v>
      </c>
      <c r="F42" s="54" t="s">
        <v>571</v>
      </c>
      <c r="G42" s="41">
        <v>96</v>
      </c>
      <c r="H42">
        <v>10</v>
      </c>
      <c r="I42">
        <v>9.4</v>
      </c>
      <c r="J42" s="46">
        <v>9.6</v>
      </c>
      <c r="K42" s="41">
        <v>580</v>
      </c>
      <c r="L42" s="46">
        <v>530</v>
      </c>
      <c r="N42" s="42">
        <v>44866</v>
      </c>
      <c r="O42" s="41">
        <f t="shared" si="1"/>
        <v>27.5</v>
      </c>
      <c r="P42">
        <f t="shared" si="2"/>
        <v>27</v>
      </c>
      <c r="Q42" s="46">
        <f t="shared" si="3"/>
        <v>24.5</v>
      </c>
      <c r="R42">
        <f t="shared" si="4"/>
        <v>0.25</v>
      </c>
      <c r="S42">
        <f t="shared" si="5"/>
        <v>9</v>
      </c>
      <c r="T42" s="46">
        <f t="shared" si="6"/>
        <v>6.25</v>
      </c>
    </row>
    <row r="43" spans="1:20" x14ac:dyDescent="0.35">
      <c r="A43" s="41" t="s">
        <v>106</v>
      </c>
      <c r="B43" t="s">
        <v>765</v>
      </c>
      <c r="C43" t="s">
        <v>856</v>
      </c>
      <c r="D43" s="46" t="s">
        <v>785</v>
      </c>
      <c r="E43" s="13">
        <v>2022</v>
      </c>
      <c r="F43" s="54" t="s">
        <v>571</v>
      </c>
      <c r="G43" s="41">
        <v>96</v>
      </c>
      <c r="H43">
        <v>10</v>
      </c>
      <c r="I43">
        <v>9.4</v>
      </c>
      <c r="J43" s="46">
        <v>9.6</v>
      </c>
      <c r="K43" s="41">
        <v>433</v>
      </c>
      <c r="L43" s="46">
        <v>359</v>
      </c>
      <c r="N43" s="42">
        <v>44866</v>
      </c>
      <c r="O43" s="41">
        <f t="shared" si="1"/>
        <v>27.5</v>
      </c>
      <c r="P43">
        <f t="shared" si="2"/>
        <v>27</v>
      </c>
      <c r="Q43" s="46">
        <f t="shared" si="3"/>
        <v>24.5</v>
      </c>
      <c r="R43">
        <f t="shared" si="4"/>
        <v>0.25</v>
      </c>
      <c r="S43">
        <f t="shared" si="5"/>
        <v>9</v>
      </c>
      <c r="T43" s="46">
        <f t="shared" si="6"/>
        <v>6.25</v>
      </c>
    </row>
    <row r="44" spans="1:20" x14ac:dyDescent="0.35">
      <c r="A44" s="41" t="s">
        <v>27</v>
      </c>
      <c r="B44" t="s">
        <v>28</v>
      </c>
      <c r="C44" t="s">
        <v>860</v>
      </c>
      <c r="D44" s="46" t="s">
        <v>785</v>
      </c>
      <c r="E44" s="13">
        <v>2022</v>
      </c>
      <c r="F44" s="54" t="s">
        <v>571</v>
      </c>
      <c r="G44" s="41">
        <v>96</v>
      </c>
      <c r="H44">
        <v>10</v>
      </c>
      <c r="I44">
        <v>9.3000000000000007</v>
      </c>
      <c r="J44" s="46">
        <v>9.6</v>
      </c>
      <c r="K44" s="41">
        <v>402</v>
      </c>
      <c r="L44" s="46">
        <v>303</v>
      </c>
      <c r="N44" s="42">
        <v>44835</v>
      </c>
      <c r="O44" s="41">
        <f t="shared" si="1"/>
        <v>27.5</v>
      </c>
      <c r="P44">
        <f t="shared" si="2"/>
        <v>21</v>
      </c>
      <c r="Q44" s="46">
        <f t="shared" si="3"/>
        <v>24.5</v>
      </c>
      <c r="R44">
        <f t="shared" si="4"/>
        <v>42.25</v>
      </c>
      <c r="S44">
        <f t="shared" si="5"/>
        <v>9</v>
      </c>
      <c r="T44" s="46">
        <f t="shared" si="6"/>
        <v>12.25</v>
      </c>
    </row>
    <row r="45" spans="1:20" x14ac:dyDescent="0.35">
      <c r="A45" s="41" t="s">
        <v>195</v>
      </c>
      <c r="B45" t="s">
        <v>279</v>
      </c>
      <c r="C45" t="s">
        <v>863</v>
      </c>
      <c r="D45" s="46" t="s">
        <v>541</v>
      </c>
      <c r="E45" s="13">
        <v>2022</v>
      </c>
      <c r="F45" s="54" t="s">
        <v>571</v>
      </c>
      <c r="G45" s="41">
        <v>99</v>
      </c>
      <c r="H45">
        <v>10</v>
      </c>
      <c r="I45">
        <v>9.8000000000000007</v>
      </c>
      <c r="J45" s="46">
        <v>10</v>
      </c>
      <c r="K45" s="41">
        <v>230</v>
      </c>
      <c r="L45" s="46">
        <v>180</v>
      </c>
      <c r="N45" s="42">
        <v>44774</v>
      </c>
      <c r="O45" s="41">
        <f t="shared" si="1"/>
        <v>27.5</v>
      </c>
      <c r="P45">
        <f t="shared" si="2"/>
        <v>43</v>
      </c>
      <c r="Q45" s="46">
        <f t="shared" si="3"/>
        <v>43</v>
      </c>
      <c r="R45">
        <f t="shared" si="4"/>
        <v>240.25</v>
      </c>
      <c r="S45">
        <f t="shared" si="5"/>
        <v>240.25</v>
      </c>
      <c r="T45" s="46">
        <f t="shared" si="6"/>
        <v>0</v>
      </c>
    </row>
    <row r="46" spans="1:20" ht="15" thickBot="1" x14ac:dyDescent="0.4">
      <c r="A46" s="43" t="s">
        <v>32</v>
      </c>
      <c r="B46" s="44" t="s">
        <v>771</v>
      </c>
      <c r="C46" s="44" t="s">
        <v>869</v>
      </c>
      <c r="D46" s="47" t="s">
        <v>556</v>
      </c>
      <c r="E46" s="51">
        <v>2022</v>
      </c>
      <c r="F46" s="55" t="s">
        <v>571</v>
      </c>
      <c r="G46" s="43">
        <v>95</v>
      </c>
      <c r="H46" s="44">
        <v>10</v>
      </c>
      <c r="I46" s="44">
        <v>9.1999999999999993</v>
      </c>
      <c r="J46" s="47">
        <v>9.5</v>
      </c>
      <c r="K46" s="43">
        <v>465</v>
      </c>
      <c r="L46" s="47">
        <v>369</v>
      </c>
      <c r="M46" s="44"/>
      <c r="N46" s="45">
        <v>44713</v>
      </c>
      <c r="O46" s="43">
        <f>_xlfn.RANK.AVG(H46, H$3:H$46, 1)</f>
        <v>27.5</v>
      </c>
      <c r="P46" s="44">
        <f t="shared" si="2"/>
        <v>15.5</v>
      </c>
      <c r="Q46" s="47">
        <f t="shared" si="3"/>
        <v>17.5</v>
      </c>
      <c r="R46" s="44">
        <f t="shared" si="4"/>
        <v>144</v>
      </c>
      <c r="S46" s="44">
        <f t="shared" si="5"/>
        <v>100</v>
      </c>
      <c r="T46" s="47">
        <f t="shared" si="6"/>
        <v>4</v>
      </c>
    </row>
    <row r="47" spans="1:20" x14ac:dyDescent="0.35">
      <c r="F47" s="1" t="s">
        <v>883</v>
      </c>
      <c r="G47" s="27">
        <f>MIN(G3:G46)</f>
        <v>56</v>
      </c>
      <c r="H47" s="27">
        <f t="shared" ref="H47:J47" si="7">MIN(H3:H46)</f>
        <v>7.5</v>
      </c>
      <c r="I47" s="27">
        <f t="shared" si="7"/>
        <v>4</v>
      </c>
      <c r="J47" s="27">
        <f t="shared" si="7"/>
        <v>0</v>
      </c>
      <c r="R47">
        <f>SUM(R3:R46)</f>
        <v>6128.5</v>
      </c>
      <c r="S47">
        <f t="shared" ref="S47:T47" si="8">SUM(S3:S46)</f>
        <v>6679.5</v>
      </c>
      <c r="T47">
        <f t="shared" si="8"/>
        <v>2778.5</v>
      </c>
    </row>
    <row r="48" spans="1:20" x14ac:dyDescent="0.35">
      <c r="F48" s="1" t="s">
        <v>884</v>
      </c>
      <c r="G48" s="27">
        <f>MAX(G3:G46)</f>
        <v>100</v>
      </c>
      <c r="H48" s="27">
        <f t="shared" ref="H48:J48" si="9">MAX(H3:H46)</f>
        <v>10</v>
      </c>
      <c r="I48" s="27">
        <f t="shared" si="9"/>
        <v>10</v>
      </c>
      <c r="J48" s="27">
        <f t="shared" si="9"/>
        <v>10</v>
      </c>
      <c r="M48" t="s">
        <v>920</v>
      </c>
      <c r="N48" s="27">
        <f>1-6*R47/(COUNT(R3:R46)*(COUNT(R3:R46)^2-1))</f>
        <v>0.56811134601832269</v>
      </c>
      <c r="O48" s="27">
        <f t="shared" ref="O48:P48" si="10">1-6*S47/(COUNT(S3:S46)*(COUNT(S3:S46)^2-1))</f>
        <v>0.5292811839323468</v>
      </c>
      <c r="P48" s="27">
        <f t="shared" si="10"/>
        <v>0.80419309372797743</v>
      </c>
    </row>
    <row r="49" spans="6:16" x14ac:dyDescent="0.35">
      <c r="F49" s="1" t="s">
        <v>949</v>
      </c>
      <c r="G49" s="27">
        <f>AVERAGE(G3:G46)</f>
        <v>93.295454545454547</v>
      </c>
      <c r="H49" s="27">
        <f t="shared" ref="H49:J49" si="11">AVERAGE(H3:H46)</f>
        <v>9.7386363636363633</v>
      </c>
      <c r="I49" s="27">
        <f t="shared" si="11"/>
        <v>8.9749999999999996</v>
      </c>
      <c r="J49" s="27">
        <f t="shared" si="11"/>
        <v>9.163636363636364</v>
      </c>
      <c r="M49" t="s">
        <v>919</v>
      </c>
      <c r="N49" s="60">
        <f>CORREL(O3:O46,P3:P46)</f>
        <v>0.4552440940798741</v>
      </c>
      <c r="O49" s="60">
        <f>CORREL(O3:O46,Q3:Q46)</f>
        <v>0.40084889516221583</v>
      </c>
      <c r="P49" s="60">
        <f>CORREL(P3:P46,Q3:Q46)</f>
        <v>0.80196074554472296</v>
      </c>
    </row>
  </sheetData>
  <mergeCells count="5">
    <mergeCell ref="A1:D1"/>
    <mergeCell ref="G1:J1"/>
    <mergeCell ref="K1:L1"/>
    <mergeCell ref="O1:Q1"/>
    <mergeCell ref="R1:T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BAA3C-324E-4F88-AE13-ACF76F39DC2E}">
  <dimension ref="A1:T25"/>
  <sheetViews>
    <sheetView workbookViewId="0">
      <pane ySplit="2" topLeftCell="A3" activePane="bottomLeft" state="frozen"/>
      <selection pane="bottomLeft" activeCell="C16" sqref="C16"/>
    </sheetView>
  </sheetViews>
  <sheetFormatPr baseColWidth="10" defaultRowHeight="14.5" x14ac:dyDescent="0.35"/>
  <cols>
    <col min="1" max="1" width="14.36328125" bestFit="1" customWidth="1"/>
    <col min="2" max="2" width="19.36328125" bestFit="1" customWidth="1"/>
    <col min="3" max="3" width="53.7265625" bestFit="1" customWidth="1"/>
    <col min="4" max="4" width="29.453125" customWidth="1"/>
    <col min="5" max="5" width="5.1796875" bestFit="1" customWidth="1"/>
    <col min="6" max="6" width="9.26953125" style="1" bestFit="1" customWidth="1"/>
    <col min="7" max="7" width="12.453125" bestFit="1" customWidth="1"/>
    <col min="8" max="8" width="8.36328125" bestFit="1" customWidth="1"/>
    <col min="9" max="9" width="15.08984375" bestFit="1" customWidth="1"/>
    <col min="10" max="10" width="13.6328125" customWidth="1"/>
    <col min="11" max="11" width="13" customWidth="1"/>
    <col min="12" max="12" width="14.7265625" customWidth="1"/>
    <col min="14" max="14" width="15" style="34" bestFit="1" customWidth="1"/>
  </cols>
  <sheetData>
    <row r="1" spans="1:20" ht="16" x14ac:dyDescent="0.4">
      <c r="A1" s="85" t="s">
        <v>874</v>
      </c>
      <c r="B1" s="86"/>
      <c r="C1" s="86"/>
      <c r="D1" s="87"/>
      <c r="E1" s="49"/>
      <c r="F1" s="52"/>
      <c r="G1" s="85" t="s">
        <v>875</v>
      </c>
      <c r="H1" s="86"/>
      <c r="I1" s="86"/>
      <c r="J1" s="87"/>
      <c r="K1" s="85" t="s">
        <v>876</v>
      </c>
      <c r="L1" s="87"/>
      <c r="M1" s="49"/>
      <c r="N1" s="56"/>
      <c r="O1" s="88" t="s">
        <v>953</v>
      </c>
      <c r="P1" s="89"/>
      <c r="Q1" s="90"/>
      <c r="R1" s="88" t="s">
        <v>954</v>
      </c>
      <c r="S1" s="89"/>
      <c r="T1" s="90"/>
    </row>
    <row r="2" spans="1:20" ht="15" thickBot="1" x14ac:dyDescent="0.4">
      <c r="A2" s="61" t="s">
        <v>528</v>
      </c>
      <c r="B2" s="62" t="s">
        <v>529</v>
      </c>
      <c r="C2" s="62" t="s">
        <v>776</v>
      </c>
      <c r="D2" s="63" t="s">
        <v>17</v>
      </c>
      <c r="E2" s="64" t="s">
        <v>16</v>
      </c>
      <c r="F2" s="64" t="s">
        <v>779</v>
      </c>
      <c r="G2" s="61" t="s">
        <v>734</v>
      </c>
      <c r="H2" s="62" t="s">
        <v>735</v>
      </c>
      <c r="I2" s="62" t="s">
        <v>737</v>
      </c>
      <c r="J2" s="63" t="s">
        <v>736</v>
      </c>
      <c r="K2" s="61" t="s">
        <v>877</v>
      </c>
      <c r="L2" s="63" t="s">
        <v>878</v>
      </c>
      <c r="M2" s="64" t="s">
        <v>536</v>
      </c>
      <c r="N2" s="65" t="s">
        <v>777</v>
      </c>
      <c r="O2" s="61" t="s">
        <v>909</v>
      </c>
      <c r="P2" s="62" t="s">
        <v>910</v>
      </c>
      <c r="Q2" s="63" t="s">
        <v>911</v>
      </c>
      <c r="R2" s="61" t="s">
        <v>950</v>
      </c>
      <c r="S2" s="62" t="s">
        <v>951</v>
      </c>
      <c r="T2" s="63" t="s">
        <v>952</v>
      </c>
    </row>
    <row r="3" spans="1:20" x14ac:dyDescent="0.35">
      <c r="A3" s="39" t="s">
        <v>37</v>
      </c>
      <c r="B3" s="6" t="s">
        <v>600</v>
      </c>
      <c r="C3" s="6" t="s">
        <v>931</v>
      </c>
      <c r="D3" s="48" t="s">
        <v>781</v>
      </c>
      <c r="E3" s="50">
        <v>2025</v>
      </c>
      <c r="F3" s="53" t="s">
        <v>828</v>
      </c>
      <c r="G3" s="39">
        <v>46</v>
      </c>
      <c r="H3" s="6">
        <v>6.5</v>
      </c>
      <c r="I3" s="6">
        <v>4.7</v>
      </c>
      <c r="J3" s="48">
        <v>2.7</v>
      </c>
      <c r="K3" s="39"/>
      <c r="L3" s="48"/>
      <c r="M3" s="13" t="s">
        <v>947</v>
      </c>
      <c r="N3" s="57">
        <v>45992</v>
      </c>
      <c r="O3" s="41">
        <f>_xlfn.RANK.AVG(H3, H$3:H$22, 1)</f>
        <v>11</v>
      </c>
      <c r="P3">
        <f>_xlfn.RANK.AVG(I3, I$3:I$22, 1)</f>
        <v>8</v>
      </c>
      <c r="Q3" s="46">
        <f>_xlfn.RANK.AVG(J3, J$3:J$22, 1)</f>
        <v>6.5</v>
      </c>
      <c r="R3">
        <f>(O3-P3)^2</f>
        <v>9</v>
      </c>
      <c r="S3">
        <f>(O3-Q3)^2</f>
        <v>20.25</v>
      </c>
      <c r="T3" s="46">
        <f>(P3-Q3)^2</f>
        <v>2.25</v>
      </c>
    </row>
    <row r="4" spans="1:20" x14ac:dyDescent="0.35">
      <c r="A4" s="39" t="s">
        <v>106</v>
      </c>
      <c r="B4" s="6" t="s">
        <v>421</v>
      </c>
      <c r="C4" s="6" t="s">
        <v>944</v>
      </c>
      <c r="D4" s="48" t="s">
        <v>681</v>
      </c>
      <c r="E4" s="50">
        <v>2025</v>
      </c>
      <c r="F4" s="53" t="s">
        <v>570</v>
      </c>
      <c r="G4" s="39">
        <v>53</v>
      </c>
      <c r="H4" s="6">
        <v>6.2</v>
      </c>
      <c r="I4" s="6">
        <v>6.2</v>
      </c>
      <c r="J4" s="48">
        <v>3.9</v>
      </c>
      <c r="K4" s="39"/>
      <c r="L4" s="48"/>
      <c r="M4" s="13"/>
      <c r="N4" s="57">
        <v>45901</v>
      </c>
      <c r="O4" s="41">
        <f t="shared" ref="O4:O22" si="0">_xlfn.RANK.AVG(H4, H$3:H$22, 1)</f>
        <v>10</v>
      </c>
      <c r="P4">
        <f t="shared" ref="P4:P22" si="1">_xlfn.RANK.AVG(I4, I$3:I$22, 1)</f>
        <v>19</v>
      </c>
      <c r="Q4" s="46">
        <f t="shared" ref="Q4:Q22" si="2">_xlfn.RANK.AVG(J4, J$3:J$22, 1)</f>
        <v>13.5</v>
      </c>
      <c r="R4" s="41">
        <f t="shared" ref="R4:R22" si="3">(O4-P4)^2</f>
        <v>81</v>
      </c>
      <c r="S4">
        <f t="shared" ref="S4:S22" si="4">(O4-Q4)^2</f>
        <v>12.25</v>
      </c>
      <c r="T4" s="46">
        <f t="shared" ref="T4:T22" si="5">(P4-Q4)^2</f>
        <v>30.25</v>
      </c>
    </row>
    <row r="5" spans="1:20" x14ac:dyDescent="0.35">
      <c r="A5" s="39" t="s">
        <v>14</v>
      </c>
      <c r="B5" s="6" t="s">
        <v>590</v>
      </c>
      <c r="C5" s="6" t="s">
        <v>945</v>
      </c>
      <c r="D5" s="48" t="s">
        <v>781</v>
      </c>
      <c r="E5" s="50">
        <v>2024</v>
      </c>
      <c r="F5" s="53" t="s">
        <v>828</v>
      </c>
      <c r="G5" s="39">
        <v>52</v>
      </c>
      <c r="H5" s="6">
        <v>6.8</v>
      </c>
      <c r="I5" s="6">
        <v>5.5</v>
      </c>
      <c r="J5" s="48">
        <v>3.4</v>
      </c>
      <c r="K5" s="39"/>
      <c r="L5" s="48"/>
      <c r="M5" s="13" t="s">
        <v>947</v>
      </c>
      <c r="N5" s="57">
        <v>45901</v>
      </c>
      <c r="O5" s="41">
        <f t="shared" si="0"/>
        <v>15</v>
      </c>
      <c r="P5">
        <f t="shared" si="1"/>
        <v>16</v>
      </c>
      <c r="Q5" s="46">
        <f t="shared" si="2"/>
        <v>9.5</v>
      </c>
      <c r="R5" s="41">
        <f t="shared" si="3"/>
        <v>1</v>
      </c>
      <c r="S5">
        <f t="shared" si="4"/>
        <v>30.25</v>
      </c>
      <c r="T5" s="46">
        <f t="shared" si="5"/>
        <v>42.25</v>
      </c>
    </row>
    <row r="6" spans="1:20" x14ac:dyDescent="0.35">
      <c r="A6" s="39" t="s">
        <v>68</v>
      </c>
      <c r="B6" s="6" t="s">
        <v>69</v>
      </c>
      <c r="C6" s="6" t="s">
        <v>791</v>
      </c>
      <c r="D6" s="48" t="s">
        <v>785</v>
      </c>
      <c r="E6" s="50">
        <v>2024</v>
      </c>
      <c r="F6" s="53" t="s">
        <v>570</v>
      </c>
      <c r="G6" s="39">
        <v>56</v>
      </c>
      <c r="H6" s="6">
        <v>7.2</v>
      </c>
      <c r="I6" s="6">
        <v>5.5</v>
      </c>
      <c r="J6" s="48">
        <v>4.0999999999999996</v>
      </c>
      <c r="K6" s="39"/>
      <c r="L6" s="48"/>
      <c r="M6" s="13"/>
      <c r="N6" s="57">
        <v>45597</v>
      </c>
      <c r="O6" s="41">
        <f t="shared" si="0"/>
        <v>16</v>
      </c>
      <c r="P6">
        <f t="shared" si="1"/>
        <v>16</v>
      </c>
      <c r="Q6" s="46">
        <f t="shared" si="2"/>
        <v>16.5</v>
      </c>
      <c r="R6" s="41">
        <f t="shared" si="3"/>
        <v>0</v>
      </c>
      <c r="S6">
        <f t="shared" si="4"/>
        <v>0.25</v>
      </c>
      <c r="T6" s="46">
        <f t="shared" si="5"/>
        <v>0.25</v>
      </c>
    </row>
    <row r="7" spans="1:20" x14ac:dyDescent="0.35">
      <c r="A7" s="39" t="s">
        <v>363</v>
      </c>
      <c r="B7" s="6" t="s">
        <v>364</v>
      </c>
      <c r="C7" s="6" t="s">
        <v>795</v>
      </c>
      <c r="D7" s="48" t="s">
        <v>785</v>
      </c>
      <c r="E7" s="50">
        <v>2024</v>
      </c>
      <c r="F7" s="53" t="s">
        <v>570</v>
      </c>
      <c r="G7" s="39">
        <v>39</v>
      </c>
      <c r="H7" s="6">
        <v>6.7</v>
      </c>
      <c r="I7" s="6">
        <v>3.3</v>
      </c>
      <c r="J7" s="48">
        <v>1.7</v>
      </c>
      <c r="K7" s="41"/>
      <c r="L7" s="46"/>
      <c r="M7" s="13"/>
      <c r="N7" s="57">
        <v>45597</v>
      </c>
      <c r="O7" s="41">
        <f t="shared" si="0"/>
        <v>13.5</v>
      </c>
      <c r="P7">
        <f t="shared" si="1"/>
        <v>2</v>
      </c>
      <c r="Q7" s="46">
        <f t="shared" si="2"/>
        <v>2</v>
      </c>
      <c r="R7" s="41">
        <f t="shared" si="3"/>
        <v>132.25</v>
      </c>
      <c r="S7">
        <f t="shared" si="4"/>
        <v>132.25</v>
      </c>
      <c r="T7" s="46">
        <f t="shared" si="5"/>
        <v>0</v>
      </c>
    </row>
    <row r="8" spans="1:20" x14ac:dyDescent="0.35">
      <c r="A8" s="39" t="s">
        <v>68</v>
      </c>
      <c r="B8" s="6" t="s">
        <v>418</v>
      </c>
      <c r="C8" s="6" t="s">
        <v>802</v>
      </c>
      <c r="D8" s="48" t="s">
        <v>301</v>
      </c>
      <c r="E8" s="50">
        <v>2024</v>
      </c>
      <c r="F8" s="53" t="s">
        <v>570</v>
      </c>
      <c r="G8" s="39">
        <v>44</v>
      </c>
      <c r="H8" s="6">
        <v>7.3</v>
      </c>
      <c r="I8" s="6">
        <v>3.7</v>
      </c>
      <c r="J8" s="48">
        <v>2.4</v>
      </c>
      <c r="K8" s="41"/>
      <c r="L8" s="46"/>
      <c r="M8" s="13"/>
      <c r="N8" s="57">
        <v>45444</v>
      </c>
      <c r="O8" s="41">
        <f t="shared" si="0"/>
        <v>17.5</v>
      </c>
      <c r="P8">
        <f t="shared" si="1"/>
        <v>3</v>
      </c>
      <c r="Q8" s="46">
        <f t="shared" si="2"/>
        <v>5</v>
      </c>
      <c r="R8" s="41">
        <f t="shared" si="3"/>
        <v>210.25</v>
      </c>
      <c r="S8">
        <f t="shared" si="4"/>
        <v>156.25</v>
      </c>
      <c r="T8" s="46">
        <f t="shared" si="5"/>
        <v>4</v>
      </c>
    </row>
    <row r="9" spans="1:20" x14ac:dyDescent="0.35">
      <c r="A9" s="39" t="s">
        <v>45</v>
      </c>
      <c r="B9" s="6" t="s">
        <v>356</v>
      </c>
      <c r="C9" s="6" t="s">
        <v>808</v>
      </c>
      <c r="D9" s="48" t="s">
        <v>301</v>
      </c>
      <c r="E9" s="50">
        <v>2024</v>
      </c>
      <c r="F9" s="53" t="s">
        <v>570</v>
      </c>
      <c r="G9" s="39">
        <v>49</v>
      </c>
      <c r="H9" s="6">
        <v>5</v>
      </c>
      <c r="I9" s="6">
        <v>5.6</v>
      </c>
      <c r="J9" s="48">
        <v>4.3</v>
      </c>
      <c r="K9" s="41"/>
      <c r="L9" s="46"/>
      <c r="M9" s="13"/>
      <c r="N9" s="57">
        <v>45352</v>
      </c>
      <c r="O9" s="41">
        <f t="shared" si="0"/>
        <v>6.5</v>
      </c>
      <c r="P9">
        <f t="shared" si="1"/>
        <v>18</v>
      </c>
      <c r="Q9" s="46">
        <f t="shared" si="2"/>
        <v>19</v>
      </c>
      <c r="R9" s="41">
        <f t="shared" si="3"/>
        <v>132.25</v>
      </c>
      <c r="S9">
        <f t="shared" si="4"/>
        <v>156.25</v>
      </c>
      <c r="T9" s="46">
        <f t="shared" si="5"/>
        <v>1</v>
      </c>
    </row>
    <row r="10" spans="1:20" x14ac:dyDescent="0.35">
      <c r="A10" s="39" t="s">
        <v>75</v>
      </c>
      <c r="B10" s="6" t="s">
        <v>373</v>
      </c>
      <c r="C10" s="6" t="s">
        <v>820</v>
      </c>
      <c r="D10" s="48" t="s">
        <v>301</v>
      </c>
      <c r="E10" s="50">
        <v>2023</v>
      </c>
      <c r="F10" s="53" t="s">
        <v>828</v>
      </c>
      <c r="G10" s="39">
        <v>42</v>
      </c>
      <c r="H10" s="6">
        <v>5.5</v>
      </c>
      <c r="I10" s="6">
        <v>4.4000000000000004</v>
      </c>
      <c r="J10" s="48">
        <v>2.7</v>
      </c>
      <c r="K10" s="41"/>
      <c r="L10" s="46"/>
      <c r="M10" s="13"/>
      <c r="N10" s="57">
        <v>45231</v>
      </c>
      <c r="O10" s="41">
        <f t="shared" si="0"/>
        <v>8</v>
      </c>
      <c r="P10">
        <f t="shared" si="1"/>
        <v>6</v>
      </c>
      <c r="Q10" s="46">
        <f t="shared" si="2"/>
        <v>6.5</v>
      </c>
      <c r="R10" s="41">
        <f t="shared" si="3"/>
        <v>4</v>
      </c>
      <c r="S10">
        <f t="shared" si="4"/>
        <v>2.25</v>
      </c>
      <c r="T10" s="46">
        <f t="shared" si="5"/>
        <v>0.25</v>
      </c>
    </row>
    <row r="11" spans="1:20" x14ac:dyDescent="0.35">
      <c r="A11" s="39" t="s">
        <v>195</v>
      </c>
      <c r="B11" s="6" t="s">
        <v>385</v>
      </c>
      <c r="C11" s="6" t="s">
        <v>825</v>
      </c>
      <c r="D11" s="48" t="s">
        <v>541</v>
      </c>
      <c r="E11" s="50">
        <v>2023</v>
      </c>
      <c r="F11" s="53" t="s">
        <v>570</v>
      </c>
      <c r="G11" s="39">
        <v>51</v>
      </c>
      <c r="H11" s="6">
        <v>5.6</v>
      </c>
      <c r="I11" s="6">
        <v>5.5</v>
      </c>
      <c r="J11" s="48">
        <v>4.2</v>
      </c>
      <c r="K11" s="41"/>
      <c r="L11" s="46"/>
      <c r="M11" s="13"/>
      <c r="N11" s="57">
        <v>45170</v>
      </c>
      <c r="O11" s="41">
        <f t="shared" si="0"/>
        <v>9</v>
      </c>
      <c r="P11">
        <f t="shared" si="1"/>
        <v>16</v>
      </c>
      <c r="Q11" s="46">
        <f t="shared" si="2"/>
        <v>18</v>
      </c>
      <c r="R11" s="41">
        <f t="shared" si="3"/>
        <v>49</v>
      </c>
      <c r="S11">
        <f t="shared" si="4"/>
        <v>81</v>
      </c>
      <c r="T11" s="46">
        <f t="shared" si="5"/>
        <v>4</v>
      </c>
    </row>
    <row r="12" spans="1:20" x14ac:dyDescent="0.35">
      <c r="A12" s="39" t="s">
        <v>81</v>
      </c>
      <c r="B12" s="6" t="s">
        <v>589</v>
      </c>
      <c r="C12" s="6" t="s">
        <v>826</v>
      </c>
      <c r="D12" s="48" t="s">
        <v>662</v>
      </c>
      <c r="E12" s="50">
        <v>2023</v>
      </c>
      <c r="F12" s="53" t="s">
        <v>827</v>
      </c>
      <c r="G12" s="39">
        <v>50</v>
      </c>
      <c r="H12" s="6">
        <v>9.3000000000000007</v>
      </c>
      <c r="I12" s="6">
        <v>4</v>
      </c>
      <c r="J12" s="48">
        <v>1.9</v>
      </c>
      <c r="K12" s="41"/>
      <c r="L12" s="46"/>
      <c r="M12" s="13"/>
      <c r="N12" s="57">
        <v>45170</v>
      </c>
      <c r="O12" s="41">
        <f t="shared" si="0"/>
        <v>20</v>
      </c>
      <c r="P12">
        <f t="shared" si="1"/>
        <v>5</v>
      </c>
      <c r="Q12" s="46">
        <f t="shared" si="2"/>
        <v>3</v>
      </c>
      <c r="R12" s="41">
        <f t="shared" si="3"/>
        <v>225</v>
      </c>
      <c r="S12">
        <f t="shared" si="4"/>
        <v>289</v>
      </c>
      <c r="T12" s="46">
        <f t="shared" si="5"/>
        <v>4</v>
      </c>
    </row>
    <row r="13" spans="1:20" x14ac:dyDescent="0.35">
      <c r="A13" s="39" t="s">
        <v>106</v>
      </c>
      <c r="B13" s="6" t="s">
        <v>370</v>
      </c>
      <c r="C13" s="6" t="s">
        <v>837</v>
      </c>
      <c r="D13" s="48" t="s">
        <v>681</v>
      </c>
      <c r="E13" s="50">
        <v>2023</v>
      </c>
      <c r="F13" s="53" t="s">
        <v>570</v>
      </c>
      <c r="G13" s="39">
        <v>52</v>
      </c>
      <c r="H13" s="6">
        <v>6.6</v>
      </c>
      <c r="I13" s="6">
        <v>5.3</v>
      </c>
      <c r="J13" s="48">
        <v>3.9</v>
      </c>
      <c r="K13" s="41"/>
      <c r="L13" s="46"/>
      <c r="M13" s="13"/>
      <c r="N13" s="57">
        <v>45017</v>
      </c>
      <c r="O13" s="41">
        <f t="shared" si="0"/>
        <v>12</v>
      </c>
      <c r="P13">
        <f t="shared" si="1"/>
        <v>12.5</v>
      </c>
      <c r="Q13" s="46">
        <f t="shared" si="2"/>
        <v>13.5</v>
      </c>
      <c r="R13" s="41">
        <f t="shared" si="3"/>
        <v>0.25</v>
      </c>
      <c r="S13">
        <f t="shared" si="4"/>
        <v>2.25</v>
      </c>
      <c r="T13" s="46">
        <f t="shared" si="5"/>
        <v>1</v>
      </c>
    </row>
    <row r="14" spans="1:20" x14ac:dyDescent="0.35">
      <c r="A14" s="39" t="s">
        <v>49</v>
      </c>
      <c r="B14" s="6" t="s">
        <v>184</v>
      </c>
      <c r="C14" s="6" t="s">
        <v>840</v>
      </c>
      <c r="D14" s="48" t="s">
        <v>541</v>
      </c>
      <c r="E14" s="50">
        <v>2023</v>
      </c>
      <c r="F14" s="53" t="s">
        <v>828</v>
      </c>
      <c r="G14" s="39">
        <v>42</v>
      </c>
      <c r="H14" s="6">
        <v>3.9</v>
      </c>
      <c r="I14" s="6">
        <v>5.2</v>
      </c>
      <c r="J14" s="48">
        <v>3.7</v>
      </c>
      <c r="K14" s="39"/>
      <c r="L14" s="48"/>
      <c r="M14" s="13"/>
      <c r="N14" s="57">
        <v>45017</v>
      </c>
      <c r="O14" s="41">
        <f t="shared" si="0"/>
        <v>2</v>
      </c>
      <c r="P14">
        <f t="shared" si="1"/>
        <v>10.5</v>
      </c>
      <c r="Q14" s="46">
        <f t="shared" si="2"/>
        <v>11.5</v>
      </c>
      <c r="R14" s="41">
        <f t="shared" si="3"/>
        <v>72.25</v>
      </c>
      <c r="S14">
        <f t="shared" si="4"/>
        <v>90.25</v>
      </c>
      <c r="T14" s="46">
        <f t="shared" si="5"/>
        <v>1</v>
      </c>
    </row>
    <row r="15" spans="1:20" x14ac:dyDescent="0.35">
      <c r="A15" s="39" t="s">
        <v>49</v>
      </c>
      <c r="B15" s="6" t="s">
        <v>50</v>
      </c>
      <c r="C15" s="6" t="s">
        <v>847</v>
      </c>
      <c r="D15" s="48" t="s">
        <v>785</v>
      </c>
      <c r="E15" s="50">
        <v>2022</v>
      </c>
      <c r="F15" s="53" t="s">
        <v>828</v>
      </c>
      <c r="G15" s="39">
        <v>46</v>
      </c>
      <c r="H15" s="6">
        <v>4.5</v>
      </c>
      <c r="I15" s="6">
        <v>5.3</v>
      </c>
      <c r="J15" s="48">
        <v>4</v>
      </c>
      <c r="K15" s="41"/>
      <c r="L15" s="46"/>
      <c r="M15" s="13"/>
      <c r="N15" s="57">
        <v>44896</v>
      </c>
      <c r="O15" s="41">
        <f t="shared" si="0"/>
        <v>4.5</v>
      </c>
      <c r="P15">
        <f t="shared" si="1"/>
        <v>12.5</v>
      </c>
      <c r="Q15" s="46">
        <f t="shared" si="2"/>
        <v>15</v>
      </c>
      <c r="R15" s="41">
        <f t="shared" si="3"/>
        <v>64</v>
      </c>
      <c r="S15">
        <f t="shared" si="4"/>
        <v>110.25</v>
      </c>
      <c r="T15" s="46">
        <f t="shared" si="5"/>
        <v>6.25</v>
      </c>
    </row>
    <row r="16" spans="1:20" x14ac:dyDescent="0.35">
      <c r="A16" s="39" t="s">
        <v>24</v>
      </c>
      <c r="B16" s="6" t="s">
        <v>371</v>
      </c>
      <c r="C16" s="6" t="s">
        <v>849</v>
      </c>
      <c r="D16" s="48" t="s">
        <v>301</v>
      </c>
      <c r="E16" s="50">
        <v>2022</v>
      </c>
      <c r="F16" s="53" t="s">
        <v>828</v>
      </c>
      <c r="G16" s="39">
        <v>32</v>
      </c>
      <c r="H16" s="6">
        <v>5</v>
      </c>
      <c r="I16" s="6">
        <v>3.2</v>
      </c>
      <c r="J16" s="48">
        <v>1.5</v>
      </c>
      <c r="K16" s="39"/>
      <c r="L16" s="48"/>
      <c r="M16" s="13"/>
      <c r="N16" s="57">
        <v>44896</v>
      </c>
      <c r="O16" s="41">
        <f t="shared" si="0"/>
        <v>6.5</v>
      </c>
      <c r="P16">
        <f t="shared" si="1"/>
        <v>1</v>
      </c>
      <c r="Q16" s="46">
        <f t="shared" si="2"/>
        <v>1</v>
      </c>
      <c r="R16" s="41">
        <f t="shared" si="3"/>
        <v>30.25</v>
      </c>
      <c r="S16">
        <f t="shared" si="4"/>
        <v>30.25</v>
      </c>
      <c r="T16" s="46">
        <f t="shared" si="5"/>
        <v>0</v>
      </c>
    </row>
    <row r="17" spans="1:20" x14ac:dyDescent="0.35">
      <c r="A17" s="39" t="s">
        <v>45</v>
      </c>
      <c r="B17" s="6" t="s">
        <v>294</v>
      </c>
      <c r="C17" s="6" t="s">
        <v>852</v>
      </c>
      <c r="D17" s="48" t="s">
        <v>632</v>
      </c>
      <c r="E17" s="50">
        <v>2022</v>
      </c>
      <c r="F17" s="53" t="s">
        <v>570</v>
      </c>
      <c r="G17" s="39">
        <v>52</v>
      </c>
      <c r="H17" s="6">
        <v>6.7</v>
      </c>
      <c r="I17" s="6">
        <v>5.2</v>
      </c>
      <c r="J17" s="48">
        <v>3.7</v>
      </c>
      <c r="K17" s="41"/>
      <c r="L17" s="46"/>
      <c r="M17" s="13"/>
      <c r="N17" s="57">
        <v>44866</v>
      </c>
      <c r="O17" s="41">
        <f t="shared" si="0"/>
        <v>13.5</v>
      </c>
      <c r="P17">
        <f t="shared" si="1"/>
        <v>10.5</v>
      </c>
      <c r="Q17" s="46">
        <f t="shared" si="2"/>
        <v>11.5</v>
      </c>
      <c r="R17" s="41">
        <f t="shared" si="3"/>
        <v>9</v>
      </c>
      <c r="S17">
        <f t="shared" si="4"/>
        <v>4</v>
      </c>
      <c r="T17" s="46">
        <f t="shared" si="5"/>
        <v>1</v>
      </c>
    </row>
    <row r="18" spans="1:20" x14ac:dyDescent="0.35">
      <c r="A18" s="41" t="s">
        <v>62</v>
      </c>
      <c r="B18" t="s">
        <v>349</v>
      </c>
      <c r="C18" t="s">
        <v>858</v>
      </c>
      <c r="D18" s="46" t="s">
        <v>301</v>
      </c>
      <c r="E18" s="13">
        <v>2022</v>
      </c>
      <c r="F18" s="54" t="s">
        <v>828</v>
      </c>
      <c r="G18" s="41">
        <v>44</v>
      </c>
      <c r="H18">
        <v>7.3</v>
      </c>
      <c r="I18">
        <v>3.9</v>
      </c>
      <c r="J18" s="46">
        <v>2.1</v>
      </c>
      <c r="K18" s="41"/>
      <c r="L18" s="46"/>
      <c r="M18" s="13"/>
      <c r="N18" s="58">
        <v>44835</v>
      </c>
      <c r="O18" s="41">
        <f t="shared" si="0"/>
        <v>17.5</v>
      </c>
      <c r="P18">
        <f t="shared" si="1"/>
        <v>4</v>
      </c>
      <c r="Q18" s="46">
        <f t="shared" si="2"/>
        <v>4</v>
      </c>
      <c r="R18" s="41">
        <f t="shared" si="3"/>
        <v>182.25</v>
      </c>
      <c r="S18">
        <f t="shared" si="4"/>
        <v>182.25</v>
      </c>
      <c r="T18" s="46">
        <f t="shared" si="5"/>
        <v>0</v>
      </c>
    </row>
    <row r="19" spans="1:20" x14ac:dyDescent="0.35">
      <c r="A19" s="41" t="s">
        <v>29</v>
      </c>
      <c r="B19" t="s">
        <v>766</v>
      </c>
      <c r="C19" t="s">
        <v>859</v>
      </c>
      <c r="D19" s="46" t="s">
        <v>301</v>
      </c>
      <c r="E19" s="13">
        <v>2022</v>
      </c>
      <c r="F19" s="54" t="s">
        <v>570</v>
      </c>
      <c r="G19" s="41">
        <v>40</v>
      </c>
      <c r="H19">
        <v>4.4000000000000004</v>
      </c>
      <c r="I19">
        <v>4.5</v>
      </c>
      <c r="J19" s="46">
        <v>3.1</v>
      </c>
      <c r="K19" s="41"/>
      <c r="L19" s="46"/>
      <c r="M19" s="13"/>
      <c r="N19" s="58">
        <v>44835</v>
      </c>
      <c r="O19" s="41">
        <f t="shared" si="0"/>
        <v>3</v>
      </c>
      <c r="P19">
        <f t="shared" si="1"/>
        <v>7</v>
      </c>
      <c r="Q19" s="46">
        <f t="shared" si="2"/>
        <v>8</v>
      </c>
      <c r="R19" s="41">
        <f t="shared" si="3"/>
        <v>16</v>
      </c>
      <c r="S19">
        <f t="shared" si="4"/>
        <v>25</v>
      </c>
      <c r="T19" s="46">
        <f t="shared" si="5"/>
        <v>1</v>
      </c>
    </row>
    <row r="20" spans="1:20" x14ac:dyDescent="0.35">
      <c r="A20" s="41" t="s">
        <v>746</v>
      </c>
      <c r="B20" t="s">
        <v>382</v>
      </c>
      <c r="C20" t="s">
        <v>861</v>
      </c>
      <c r="D20" s="46" t="s">
        <v>541</v>
      </c>
      <c r="E20" s="13">
        <v>2022</v>
      </c>
      <c r="F20" s="54" t="s">
        <v>828</v>
      </c>
      <c r="G20" s="41">
        <v>53</v>
      </c>
      <c r="H20">
        <v>4.5</v>
      </c>
      <c r="I20">
        <v>6.3</v>
      </c>
      <c r="J20" s="46">
        <v>5.2</v>
      </c>
      <c r="K20" s="41"/>
      <c r="L20" s="46"/>
      <c r="M20" s="13"/>
      <c r="N20" s="58">
        <v>44835</v>
      </c>
      <c r="O20" s="41">
        <f t="shared" si="0"/>
        <v>4.5</v>
      </c>
      <c r="P20">
        <f t="shared" si="1"/>
        <v>20</v>
      </c>
      <c r="Q20" s="46">
        <f t="shared" si="2"/>
        <v>20</v>
      </c>
      <c r="R20" s="41">
        <f t="shared" si="3"/>
        <v>240.25</v>
      </c>
      <c r="S20">
        <f t="shared" si="4"/>
        <v>240.25</v>
      </c>
      <c r="T20" s="46">
        <f t="shared" si="5"/>
        <v>0</v>
      </c>
    </row>
    <row r="21" spans="1:20" x14ac:dyDescent="0.35">
      <c r="A21" s="41" t="s">
        <v>68</v>
      </c>
      <c r="B21" t="s">
        <v>324</v>
      </c>
      <c r="C21" t="s">
        <v>866</v>
      </c>
      <c r="D21" s="46" t="s">
        <v>301</v>
      </c>
      <c r="E21" s="13">
        <v>2022</v>
      </c>
      <c r="F21" s="54" t="s">
        <v>570</v>
      </c>
      <c r="G21" s="41">
        <v>52</v>
      </c>
      <c r="H21">
        <v>7.5</v>
      </c>
      <c r="I21">
        <v>4.9000000000000004</v>
      </c>
      <c r="J21" s="46">
        <v>3.4</v>
      </c>
      <c r="K21" s="41"/>
      <c r="L21" s="46"/>
      <c r="M21" s="13"/>
      <c r="N21" s="58">
        <v>44743</v>
      </c>
      <c r="O21" s="41">
        <f t="shared" si="0"/>
        <v>19</v>
      </c>
      <c r="P21">
        <f t="shared" si="1"/>
        <v>9</v>
      </c>
      <c r="Q21" s="46">
        <f t="shared" si="2"/>
        <v>9.5</v>
      </c>
      <c r="R21" s="41">
        <f t="shared" si="3"/>
        <v>100</v>
      </c>
      <c r="S21">
        <f t="shared" si="4"/>
        <v>90.25</v>
      </c>
      <c r="T21" s="46">
        <f t="shared" si="5"/>
        <v>0.25</v>
      </c>
    </row>
    <row r="22" spans="1:20" ht="15" thickBot="1" x14ac:dyDescent="0.4">
      <c r="A22" s="43" t="s">
        <v>29</v>
      </c>
      <c r="B22" s="44" t="s">
        <v>772</v>
      </c>
      <c r="C22" s="44" t="s">
        <v>870</v>
      </c>
      <c r="D22" s="47" t="s">
        <v>301</v>
      </c>
      <c r="E22" s="51">
        <v>2022</v>
      </c>
      <c r="F22" s="55" t="s">
        <v>828</v>
      </c>
      <c r="G22" s="43">
        <v>44</v>
      </c>
      <c r="H22" s="44">
        <v>3.8</v>
      </c>
      <c r="I22" s="44">
        <v>5.4</v>
      </c>
      <c r="J22" s="47">
        <v>4.0999999999999996</v>
      </c>
      <c r="K22" s="43"/>
      <c r="L22" s="47"/>
      <c r="M22" s="51"/>
      <c r="N22" s="59">
        <v>44713</v>
      </c>
      <c r="O22" s="43">
        <f t="shared" si="0"/>
        <v>1</v>
      </c>
      <c r="P22" s="44">
        <f t="shared" si="1"/>
        <v>14</v>
      </c>
      <c r="Q22" s="47">
        <f t="shared" si="2"/>
        <v>16.5</v>
      </c>
      <c r="R22" s="43">
        <f t="shared" si="3"/>
        <v>169</v>
      </c>
      <c r="S22" s="44">
        <f t="shared" si="4"/>
        <v>240.25</v>
      </c>
      <c r="T22" s="47">
        <f t="shared" si="5"/>
        <v>6.25</v>
      </c>
    </row>
    <row r="23" spans="1:20" x14ac:dyDescent="0.35">
      <c r="F23" s="1" t="s">
        <v>883</v>
      </c>
      <c r="G23" s="27">
        <f>MIN(G3:G22)</f>
        <v>32</v>
      </c>
      <c r="H23" s="27">
        <f t="shared" ref="H23:J23" si="6">MIN(H3:H22)</f>
        <v>3.8</v>
      </c>
      <c r="I23" s="27">
        <f t="shared" si="6"/>
        <v>3.2</v>
      </c>
      <c r="J23" s="27">
        <f t="shared" si="6"/>
        <v>1.5</v>
      </c>
      <c r="R23">
        <f>SUM(R3:R22)</f>
        <v>1727</v>
      </c>
      <c r="S23">
        <f>SUM(S3:S22)</f>
        <v>1895</v>
      </c>
      <c r="T23">
        <f>SUM(T3:T22)</f>
        <v>105</v>
      </c>
    </row>
    <row r="24" spans="1:20" x14ac:dyDescent="0.35">
      <c r="F24" s="1" t="s">
        <v>884</v>
      </c>
      <c r="G24" s="27">
        <f>MAX(G3:G22)</f>
        <v>56</v>
      </c>
      <c r="H24" s="27">
        <f t="shared" ref="H24:J24" si="7">MAX(H3:H22)</f>
        <v>9.3000000000000007</v>
      </c>
      <c r="I24" s="27">
        <f t="shared" si="7"/>
        <v>6.3</v>
      </c>
      <c r="J24" s="27">
        <f t="shared" si="7"/>
        <v>5.2</v>
      </c>
      <c r="M24" t="s">
        <v>920</v>
      </c>
      <c r="N24" s="27">
        <f>1-6*R23/(COUNT(R3:R22)*(COUNT(R3:R22)^2-1))</f>
        <v>-0.2984962406015037</v>
      </c>
      <c r="O24" s="27">
        <f t="shared" ref="O24:P24" si="8">1-6*S23/(COUNT(S3:S22)*(COUNT(S3:S22)^2-1))</f>
        <v>-0.42481203007518786</v>
      </c>
      <c r="P24" s="27">
        <f t="shared" si="8"/>
        <v>0.92105263157894735</v>
      </c>
    </row>
    <row r="25" spans="1:20" x14ac:dyDescent="0.35">
      <c r="F25" s="1" t="s">
        <v>949</v>
      </c>
      <c r="G25" s="27">
        <f>AVERAGE(G3:G22)</f>
        <v>46.95</v>
      </c>
      <c r="H25" s="27">
        <f t="shared" ref="H25:J25" si="9">AVERAGE(H3:H22)</f>
        <v>6.0149999999999997</v>
      </c>
      <c r="I25" s="27">
        <f t="shared" si="9"/>
        <v>4.8800000000000008</v>
      </c>
      <c r="J25" s="27">
        <f t="shared" si="9"/>
        <v>3.3</v>
      </c>
      <c r="M25" t="s">
        <v>919</v>
      </c>
      <c r="N25" s="60">
        <f>CORREL(O3:O22,P3:P22)</f>
        <v>-0.30339631282203094</v>
      </c>
      <c r="O25" s="60">
        <f>CORREL(O3:O22,Q3:Q22)</f>
        <v>-0.42964921955311741</v>
      </c>
      <c r="P25" s="60">
        <f>CORREL(P3:P22,Q3:Q22)</f>
        <v>0.92072486741685899</v>
      </c>
    </row>
  </sheetData>
  <mergeCells count="5">
    <mergeCell ref="A1:D1"/>
    <mergeCell ref="G1:J1"/>
    <mergeCell ref="K1:L1"/>
    <mergeCell ref="O1:Q1"/>
    <mergeCell ref="R1:T1"/>
  </mergeCells>
  <pageMargins left="0.7" right="0.7" top="0.75" bottom="0.75" header="0.3" footer="0.3"/>
  <ignoredErrors>
    <ignoredError sqref="O25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94A9-94C5-4387-8D5A-1ADBCB4D2554}">
  <dimension ref="A1:T9"/>
  <sheetViews>
    <sheetView workbookViewId="0">
      <pane ySplit="2" topLeftCell="A3" activePane="bottomLeft" state="frozen"/>
      <selection pane="bottomLeft" activeCell="I9" sqref="I9"/>
    </sheetView>
  </sheetViews>
  <sheetFormatPr baseColWidth="10" defaultRowHeight="14.5" x14ac:dyDescent="0.35"/>
  <cols>
    <col min="1" max="1" width="14.36328125" bestFit="1" customWidth="1"/>
    <col min="2" max="2" width="19.36328125" bestFit="1" customWidth="1"/>
    <col min="3" max="3" width="53.7265625" bestFit="1" customWidth="1"/>
    <col min="4" max="4" width="29.453125" customWidth="1"/>
    <col min="5" max="5" width="5.1796875" bestFit="1" customWidth="1"/>
    <col min="6" max="6" width="9.26953125" style="1" bestFit="1" customWidth="1"/>
    <col min="7" max="7" width="12.453125" bestFit="1" customWidth="1"/>
    <col min="8" max="8" width="8.36328125" bestFit="1" customWidth="1"/>
    <col min="9" max="9" width="15.08984375" bestFit="1" customWidth="1"/>
    <col min="10" max="10" width="13.6328125" customWidth="1"/>
    <col min="11" max="11" width="13" customWidth="1"/>
    <col min="12" max="12" width="14.7265625" customWidth="1"/>
    <col min="14" max="14" width="15" style="34" bestFit="1" customWidth="1"/>
  </cols>
  <sheetData>
    <row r="1" spans="1:20" ht="16" x14ac:dyDescent="0.4">
      <c r="A1" s="85" t="s">
        <v>874</v>
      </c>
      <c r="B1" s="86"/>
      <c r="C1" s="86"/>
      <c r="D1" s="87"/>
      <c r="E1" s="49"/>
      <c r="F1" s="52"/>
      <c r="G1" s="85" t="s">
        <v>875</v>
      </c>
      <c r="H1" s="86"/>
      <c r="I1" s="86"/>
      <c r="J1" s="87"/>
      <c r="K1" s="85" t="s">
        <v>876</v>
      </c>
      <c r="L1" s="87"/>
      <c r="M1" s="49"/>
      <c r="N1" s="56"/>
      <c r="O1" s="88" t="s">
        <v>953</v>
      </c>
      <c r="P1" s="89"/>
      <c r="Q1" s="90"/>
      <c r="R1" s="88" t="s">
        <v>954</v>
      </c>
      <c r="S1" s="89"/>
      <c r="T1" s="90"/>
    </row>
    <row r="2" spans="1:20" ht="15" thickBot="1" x14ac:dyDescent="0.4">
      <c r="A2" s="61" t="s">
        <v>528</v>
      </c>
      <c r="B2" s="62" t="s">
        <v>529</v>
      </c>
      <c r="C2" s="62" t="s">
        <v>776</v>
      </c>
      <c r="D2" s="63" t="s">
        <v>17</v>
      </c>
      <c r="E2" s="64" t="s">
        <v>16</v>
      </c>
      <c r="F2" s="64" t="s">
        <v>779</v>
      </c>
      <c r="G2" s="61" t="s">
        <v>734</v>
      </c>
      <c r="H2" s="62" t="s">
        <v>735</v>
      </c>
      <c r="I2" s="62" t="s">
        <v>737</v>
      </c>
      <c r="J2" s="63" t="s">
        <v>736</v>
      </c>
      <c r="K2" s="61" t="s">
        <v>877</v>
      </c>
      <c r="L2" s="63" t="s">
        <v>878</v>
      </c>
      <c r="M2" s="64" t="s">
        <v>536</v>
      </c>
      <c r="N2" s="65" t="s">
        <v>777</v>
      </c>
      <c r="O2" s="61" t="s">
        <v>909</v>
      </c>
      <c r="P2" s="62" t="s">
        <v>910</v>
      </c>
      <c r="Q2" s="63" t="s">
        <v>911</v>
      </c>
      <c r="R2" s="61" t="s">
        <v>950</v>
      </c>
      <c r="S2" s="62" t="s">
        <v>951</v>
      </c>
      <c r="T2" s="63" t="s">
        <v>952</v>
      </c>
    </row>
    <row r="3" spans="1:20" x14ac:dyDescent="0.35">
      <c r="A3" s="39" t="s">
        <v>740</v>
      </c>
      <c r="B3" s="7" t="s">
        <v>741</v>
      </c>
      <c r="C3" s="6" t="s">
        <v>783</v>
      </c>
      <c r="D3" s="48" t="s">
        <v>785</v>
      </c>
      <c r="E3" s="50">
        <v>2024</v>
      </c>
      <c r="F3" s="53" t="s">
        <v>784</v>
      </c>
      <c r="G3" s="39">
        <v>64</v>
      </c>
      <c r="H3" s="6">
        <v>7.8</v>
      </c>
      <c r="I3" s="6">
        <v>5.9</v>
      </c>
      <c r="J3" s="48">
        <v>5.6</v>
      </c>
      <c r="K3" s="39">
        <v>85</v>
      </c>
      <c r="L3" s="48">
        <v>80</v>
      </c>
      <c r="M3" s="13"/>
      <c r="N3" s="57">
        <v>45627</v>
      </c>
      <c r="O3" s="41">
        <f>_xlfn.RANK.AVG(H3, H$3:H$6, 1)</f>
        <v>3</v>
      </c>
      <c r="P3">
        <f>_xlfn.RANK.AVG(I3, I$3:I$6, 1)</f>
        <v>3</v>
      </c>
      <c r="Q3" s="46">
        <f>_xlfn.RANK.AVG(J3, J$3:J$6, 1)</f>
        <v>3.5</v>
      </c>
      <c r="R3" s="41">
        <f>(O3-P3)^2</f>
        <v>0</v>
      </c>
      <c r="S3">
        <f>(O3-Q3)^2</f>
        <v>0.25</v>
      </c>
      <c r="T3" s="46">
        <f>(P3-Q3)^2</f>
        <v>0.25</v>
      </c>
    </row>
    <row r="4" spans="1:20" x14ac:dyDescent="0.35">
      <c r="A4" s="39" t="s">
        <v>742</v>
      </c>
      <c r="B4" s="6" t="s">
        <v>345</v>
      </c>
      <c r="C4" s="6" t="s">
        <v>786</v>
      </c>
      <c r="D4" s="48" t="s">
        <v>301</v>
      </c>
      <c r="E4" s="50">
        <v>2024</v>
      </c>
      <c r="F4" s="53" t="s">
        <v>784</v>
      </c>
      <c r="G4" s="39">
        <v>57</v>
      </c>
      <c r="H4" s="6">
        <v>8.1999999999999993</v>
      </c>
      <c r="I4" s="6">
        <v>4.9000000000000004</v>
      </c>
      <c r="J4" s="48">
        <v>4.0999999999999996</v>
      </c>
      <c r="K4" s="39">
        <v>64</v>
      </c>
      <c r="L4" s="48">
        <v>53</v>
      </c>
      <c r="M4" s="13"/>
      <c r="N4" s="57">
        <v>45627</v>
      </c>
      <c r="O4" s="41">
        <f t="shared" ref="O4:O6" si="0">_xlfn.RANK.AVG(H4, H$3:H$6, 1)</f>
        <v>4</v>
      </c>
      <c r="P4">
        <f t="shared" ref="P4:P6" si="1">_xlfn.RANK.AVG(I4, I$3:I$6, 1)</f>
        <v>1</v>
      </c>
      <c r="Q4" s="46">
        <f t="shared" ref="Q4:Q6" si="2">_xlfn.RANK.AVG(J4, J$3:J$6, 1)</f>
        <v>1.5</v>
      </c>
      <c r="R4" s="41">
        <f t="shared" ref="R4:R6" si="3">(O4-P4)^2</f>
        <v>9</v>
      </c>
      <c r="S4">
        <f t="shared" ref="S4:S6" si="4">(O4-Q4)^2</f>
        <v>6.25</v>
      </c>
      <c r="T4" s="46">
        <f t="shared" ref="T4:T6" si="5">(P4-Q4)^2</f>
        <v>0.25</v>
      </c>
    </row>
    <row r="5" spans="1:20" x14ac:dyDescent="0.35">
      <c r="A5" s="39" t="s">
        <v>740</v>
      </c>
      <c r="B5" s="6" t="s">
        <v>429</v>
      </c>
      <c r="C5" s="6" t="s">
        <v>818</v>
      </c>
      <c r="D5" s="48" t="s">
        <v>556</v>
      </c>
      <c r="E5" s="50">
        <v>2023</v>
      </c>
      <c r="F5" s="53" t="s">
        <v>784</v>
      </c>
      <c r="G5" s="39">
        <v>48</v>
      </c>
      <c r="H5" s="6">
        <v>5.4</v>
      </c>
      <c r="I5" s="6">
        <v>5</v>
      </c>
      <c r="J5" s="48">
        <v>4.0999999999999996</v>
      </c>
      <c r="K5" s="41">
        <v>63</v>
      </c>
      <c r="L5" s="46">
        <v>51</v>
      </c>
      <c r="M5" s="13"/>
      <c r="N5" s="57">
        <v>45231</v>
      </c>
      <c r="O5" s="41">
        <f t="shared" si="0"/>
        <v>1</v>
      </c>
      <c r="P5">
        <f t="shared" si="1"/>
        <v>2</v>
      </c>
      <c r="Q5" s="46">
        <f t="shared" si="2"/>
        <v>1.5</v>
      </c>
      <c r="R5" s="41">
        <f t="shared" si="3"/>
        <v>1</v>
      </c>
      <c r="S5">
        <f t="shared" si="4"/>
        <v>0.25</v>
      </c>
      <c r="T5" s="46">
        <f t="shared" si="5"/>
        <v>0.25</v>
      </c>
    </row>
    <row r="6" spans="1:20" ht="15" thickBot="1" x14ac:dyDescent="0.4">
      <c r="A6" s="43" t="s">
        <v>768</v>
      </c>
      <c r="B6" s="44" t="s">
        <v>377</v>
      </c>
      <c r="C6" s="44" t="s">
        <v>865</v>
      </c>
      <c r="D6" s="47" t="s">
        <v>301</v>
      </c>
      <c r="E6" s="51">
        <v>2022</v>
      </c>
      <c r="F6" s="55" t="s">
        <v>784</v>
      </c>
      <c r="G6" s="43">
        <v>61</v>
      </c>
      <c r="H6" s="44">
        <v>6.8</v>
      </c>
      <c r="I6" s="44">
        <v>6</v>
      </c>
      <c r="J6" s="47">
        <v>5.6</v>
      </c>
      <c r="K6" s="43">
        <v>69</v>
      </c>
      <c r="L6" s="47">
        <v>66</v>
      </c>
      <c r="M6" s="51"/>
      <c r="N6" s="59">
        <v>44743</v>
      </c>
      <c r="O6" s="43">
        <f t="shared" si="0"/>
        <v>2</v>
      </c>
      <c r="P6" s="44">
        <f t="shared" si="1"/>
        <v>4</v>
      </c>
      <c r="Q6" s="47">
        <f t="shared" si="2"/>
        <v>3.5</v>
      </c>
      <c r="R6" s="43">
        <f t="shared" si="3"/>
        <v>4</v>
      </c>
      <c r="S6" s="44">
        <f t="shared" si="4"/>
        <v>2.25</v>
      </c>
      <c r="T6" s="47">
        <f t="shared" si="5"/>
        <v>0.25</v>
      </c>
    </row>
    <row r="7" spans="1:20" x14ac:dyDescent="0.35">
      <c r="F7" s="1" t="s">
        <v>883</v>
      </c>
      <c r="G7" s="27">
        <f>MIN(G3:G6)</f>
        <v>48</v>
      </c>
      <c r="H7" s="27">
        <f t="shared" ref="H7:J7" si="6">MIN(H3:H6)</f>
        <v>5.4</v>
      </c>
      <c r="I7" s="27">
        <f t="shared" si="6"/>
        <v>4.9000000000000004</v>
      </c>
      <c r="J7" s="27">
        <f t="shared" si="6"/>
        <v>4.0999999999999996</v>
      </c>
      <c r="R7">
        <f>SUM(R3:R6)</f>
        <v>14</v>
      </c>
      <c r="S7">
        <f>SUM(S3:S6)</f>
        <v>9</v>
      </c>
      <c r="T7">
        <f>SUM(T3:T6)</f>
        <v>1</v>
      </c>
    </row>
    <row r="8" spans="1:20" x14ac:dyDescent="0.35">
      <c r="F8" s="1" t="s">
        <v>884</v>
      </c>
      <c r="G8" s="27">
        <f>MAX(G3:G6)</f>
        <v>64</v>
      </c>
      <c r="H8" s="27">
        <f t="shared" ref="H8:J8" si="7">MAX(H3:H6)</f>
        <v>8.1999999999999993</v>
      </c>
      <c r="I8" s="27">
        <f t="shared" si="7"/>
        <v>6</v>
      </c>
      <c r="J8" s="27">
        <f t="shared" si="7"/>
        <v>5.6</v>
      </c>
      <c r="M8" t="s">
        <v>920</v>
      </c>
      <c r="N8" s="27">
        <f>1-6*R7/(COUNT(R3:R6)*(COUNT(R3:R6)^2-1))</f>
        <v>-0.39999999999999991</v>
      </c>
      <c r="O8" s="27">
        <f t="shared" ref="O8:P8" si="8">1-6*S7/(COUNT(S3:S6)*(COUNT(S3:S6)^2-1))</f>
        <v>9.9999999999999978E-2</v>
      </c>
      <c r="P8" s="27">
        <f t="shared" si="8"/>
        <v>0.9</v>
      </c>
    </row>
    <row r="9" spans="1:20" x14ac:dyDescent="0.35">
      <c r="F9" s="1" t="s">
        <v>949</v>
      </c>
      <c r="G9" s="27">
        <f>AVERAGE(G3:G6)</f>
        <v>57.5</v>
      </c>
      <c r="H9" s="27">
        <f t="shared" ref="H9:J9" si="9">AVERAGE(H3:H6)</f>
        <v>7.05</v>
      </c>
      <c r="I9" s="27">
        <f t="shared" si="9"/>
        <v>5.45</v>
      </c>
      <c r="J9" s="27">
        <f t="shared" si="9"/>
        <v>4.8499999999999996</v>
      </c>
      <c r="M9" t="s">
        <v>919</v>
      </c>
      <c r="N9" s="60">
        <f>CORREL(O3:O6,P3:P6)</f>
        <v>-0.39999999999999991</v>
      </c>
      <c r="O9" s="60">
        <f>CORREL(O3:O6,Q3:Q6)</f>
        <v>0</v>
      </c>
      <c r="P9" s="60">
        <f>CORREL(P3:P6,Q3:Q6)</f>
        <v>0.89442719099991586</v>
      </c>
    </row>
  </sheetData>
  <mergeCells count="5">
    <mergeCell ref="A1:D1"/>
    <mergeCell ref="G1:J1"/>
    <mergeCell ref="K1:L1"/>
    <mergeCell ref="O1:Q1"/>
    <mergeCell ref="R1:T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ECB99-7E53-4842-8498-D4E59254A638}">
  <dimension ref="A1:T50"/>
  <sheetViews>
    <sheetView workbookViewId="0">
      <pane ySplit="2" topLeftCell="A3" activePane="bottomLeft" state="frozen"/>
      <selection pane="bottomLeft" activeCell="D13" sqref="D13"/>
    </sheetView>
  </sheetViews>
  <sheetFormatPr baseColWidth="10" defaultRowHeight="14.5" x14ac:dyDescent="0.35"/>
  <cols>
    <col min="1" max="1" width="14.36328125" bestFit="1" customWidth="1"/>
    <col min="2" max="2" width="19.36328125" bestFit="1" customWidth="1"/>
    <col min="3" max="3" width="53.7265625" bestFit="1" customWidth="1"/>
    <col min="4" max="4" width="29.453125" customWidth="1"/>
    <col min="5" max="5" width="5.1796875" bestFit="1" customWidth="1"/>
    <col min="6" max="6" width="9.26953125" style="1" bestFit="1" customWidth="1"/>
    <col min="7" max="7" width="12.453125" bestFit="1" customWidth="1"/>
    <col min="8" max="8" width="8.36328125" bestFit="1" customWidth="1"/>
    <col min="9" max="9" width="15.08984375" bestFit="1" customWidth="1"/>
    <col min="10" max="10" width="13.6328125" customWidth="1"/>
    <col min="11" max="11" width="13" customWidth="1"/>
    <col min="12" max="12" width="14.7265625" customWidth="1"/>
    <col min="14" max="14" width="15" style="34" bestFit="1" customWidth="1"/>
  </cols>
  <sheetData>
    <row r="1" spans="1:20" ht="16" x14ac:dyDescent="0.4">
      <c r="A1" s="85" t="s">
        <v>874</v>
      </c>
      <c r="B1" s="86"/>
      <c r="C1" s="86"/>
      <c r="D1" s="87"/>
      <c r="E1" s="49"/>
      <c r="F1" s="52"/>
      <c r="G1" s="85" t="s">
        <v>875</v>
      </c>
      <c r="H1" s="86"/>
      <c r="I1" s="86"/>
      <c r="J1" s="87"/>
      <c r="K1" s="85" t="s">
        <v>876</v>
      </c>
      <c r="L1" s="87"/>
      <c r="M1" s="49"/>
      <c r="N1" s="56"/>
      <c r="O1" s="88" t="s">
        <v>953</v>
      </c>
      <c r="P1" s="89"/>
      <c r="Q1" s="90"/>
      <c r="R1" s="88" t="s">
        <v>954</v>
      </c>
      <c r="S1" s="89"/>
      <c r="T1" s="90"/>
    </row>
    <row r="2" spans="1:20" ht="15" thickBot="1" x14ac:dyDescent="0.4">
      <c r="A2" s="61" t="s">
        <v>528</v>
      </c>
      <c r="B2" s="62" t="s">
        <v>529</v>
      </c>
      <c r="C2" s="62" t="s">
        <v>776</v>
      </c>
      <c r="D2" s="63" t="s">
        <v>17</v>
      </c>
      <c r="E2" s="64" t="s">
        <v>16</v>
      </c>
      <c r="F2" s="64" t="s">
        <v>779</v>
      </c>
      <c r="G2" s="61" t="s">
        <v>734</v>
      </c>
      <c r="H2" s="62" t="s">
        <v>735</v>
      </c>
      <c r="I2" s="62" t="s">
        <v>737</v>
      </c>
      <c r="J2" s="63" t="s">
        <v>736</v>
      </c>
      <c r="K2" s="61" t="s">
        <v>877</v>
      </c>
      <c r="L2" s="63" t="s">
        <v>878</v>
      </c>
      <c r="M2" s="64" t="s">
        <v>536</v>
      </c>
      <c r="N2" s="65" t="s">
        <v>777</v>
      </c>
      <c r="O2" s="61" t="s">
        <v>909</v>
      </c>
      <c r="P2" s="62" t="s">
        <v>910</v>
      </c>
      <c r="Q2" s="63" t="s">
        <v>911</v>
      </c>
      <c r="R2" s="62" t="s">
        <v>950</v>
      </c>
      <c r="S2" s="62" t="s">
        <v>951</v>
      </c>
      <c r="T2" s="63" t="s">
        <v>952</v>
      </c>
    </row>
    <row r="3" spans="1:20" x14ac:dyDescent="0.35">
      <c r="A3" s="39" t="s">
        <v>37</v>
      </c>
      <c r="B3" s="6" t="s">
        <v>386</v>
      </c>
      <c r="C3" s="6" t="s">
        <v>930</v>
      </c>
      <c r="D3" s="48" t="s">
        <v>301</v>
      </c>
      <c r="E3" s="50">
        <v>2025</v>
      </c>
      <c r="F3" s="53" t="s">
        <v>636</v>
      </c>
      <c r="G3" s="39">
        <v>49</v>
      </c>
      <c r="H3" s="6">
        <v>6.6</v>
      </c>
      <c r="I3" s="6">
        <v>5.2</v>
      </c>
      <c r="J3" s="48">
        <v>3.1</v>
      </c>
      <c r="K3" s="39"/>
      <c r="L3" s="48"/>
      <c r="M3" s="13"/>
      <c r="N3" s="57">
        <v>45992</v>
      </c>
      <c r="O3" s="41">
        <f>_xlfn.RANK.AVG(H3, H$3:H$47, 1)</f>
        <v>25.5</v>
      </c>
      <c r="P3">
        <f t="shared" ref="P3:Q3" si="0">_xlfn.RANK.AVG(I3, I$3:I$47, 1)</f>
        <v>34.5</v>
      </c>
      <c r="Q3" s="46">
        <f t="shared" si="0"/>
        <v>28</v>
      </c>
      <c r="R3">
        <f>(O3-P3)^2</f>
        <v>81</v>
      </c>
      <c r="S3">
        <f>(O3-Q3)^2</f>
        <v>6.25</v>
      </c>
      <c r="T3" s="46">
        <f>(P3-Q3)^2</f>
        <v>42.25</v>
      </c>
    </row>
    <row r="4" spans="1:20" x14ac:dyDescent="0.35">
      <c r="A4" s="39" t="s">
        <v>767</v>
      </c>
      <c r="B4" s="6" t="s">
        <v>189</v>
      </c>
      <c r="C4" s="6" t="s">
        <v>935</v>
      </c>
      <c r="D4" s="48" t="s">
        <v>785</v>
      </c>
      <c r="E4" s="50">
        <v>2025</v>
      </c>
      <c r="F4" s="53" t="s">
        <v>636</v>
      </c>
      <c r="G4" s="39">
        <v>67</v>
      </c>
      <c r="H4" s="6">
        <v>7</v>
      </c>
      <c r="I4" s="6">
        <v>7.7</v>
      </c>
      <c r="J4" s="48">
        <v>5.4</v>
      </c>
      <c r="K4" s="41"/>
      <c r="L4" s="46"/>
      <c r="M4" s="13"/>
      <c r="N4" s="57">
        <v>45962</v>
      </c>
      <c r="O4" s="41">
        <f t="shared" ref="O4:O47" si="1">_xlfn.RANK.AVG(H4, H$3:H$47, 1)</f>
        <v>32</v>
      </c>
      <c r="P4">
        <f t="shared" ref="P4:P47" si="2">_xlfn.RANK.AVG(I4, I$3:I$47, 1)</f>
        <v>45</v>
      </c>
      <c r="Q4" s="46">
        <f t="shared" ref="Q4:Q47" si="3">_xlfn.RANK.AVG(J4, J$3:J$47, 1)</f>
        <v>45</v>
      </c>
      <c r="R4">
        <f t="shared" ref="R4:R47" si="4">(O4-P4)^2</f>
        <v>169</v>
      </c>
      <c r="S4">
        <f t="shared" ref="S4:S47" si="5">(O4-Q4)^2</f>
        <v>169</v>
      </c>
      <c r="T4" s="46">
        <f t="shared" ref="T4:T47" si="6">(P4-Q4)^2</f>
        <v>0</v>
      </c>
    </row>
    <row r="5" spans="1:20" x14ac:dyDescent="0.35">
      <c r="A5" s="39" t="s">
        <v>29</v>
      </c>
      <c r="B5" s="6" t="s">
        <v>191</v>
      </c>
      <c r="C5" s="6" t="s">
        <v>941</v>
      </c>
      <c r="D5" s="48" t="s">
        <v>948</v>
      </c>
      <c r="E5" s="50">
        <v>2025</v>
      </c>
      <c r="F5" s="53" t="s">
        <v>636</v>
      </c>
      <c r="G5" s="39">
        <v>58</v>
      </c>
      <c r="H5" s="6">
        <v>5.9</v>
      </c>
      <c r="I5" s="6">
        <v>6.8</v>
      </c>
      <c r="J5" s="48">
        <v>4.7</v>
      </c>
      <c r="K5" s="41"/>
      <c r="L5" s="46"/>
      <c r="M5" s="13"/>
      <c r="N5" s="57">
        <v>45901</v>
      </c>
      <c r="O5" s="41">
        <f t="shared" si="1"/>
        <v>16.5</v>
      </c>
      <c r="P5">
        <f t="shared" si="2"/>
        <v>44</v>
      </c>
      <c r="Q5" s="46">
        <f t="shared" si="3"/>
        <v>41</v>
      </c>
      <c r="R5">
        <f t="shared" si="4"/>
        <v>756.25</v>
      </c>
      <c r="S5">
        <f t="shared" si="5"/>
        <v>600.25</v>
      </c>
      <c r="T5" s="46">
        <f t="shared" si="6"/>
        <v>9</v>
      </c>
    </row>
    <row r="6" spans="1:20" x14ac:dyDescent="0.35">
      <c r="A6" s="39" t="s">
        <v>37</v>
      </c>
      <c r="B6" s="6" t="s">
        <v>928</v>
      </c>
      <c r="C6" s="6" t="s">
        <v>942</v>
      </c>
      <c r="D6" s="48" t="s">
        <v>785</v>
      </c>
      <c r="E6" s="50">
        <v>2025</v>
      </c>
      <c r="F6" s="53" t="s">
        <v>636</v>
      </c>
      <c r="G6" s="39">
        <v>56</v>
      </c>
      <c r="H6" s="6">
        <v>6.7</v>
      </c>
      <c r="I6" s="6">
        <v>6.1</v>
      </c>
      <c r="J6" s="48">
        <v>4</v>
      </c>
      <c r="K6" s="41"/>
      <c r="L6" s="46"/>
      <c r="M6" s="13"/>
      <c r="N6" s="57">
        <v>45901</v>
      </c>
      <c r="O6" s="41">
        <f t="shared" si="1"/>
        <v>27.5</v>
      </c>
      <c r="P6">
        <f t="shared" si="2"/>
        <v>43</v>
      </c>
      <c r="Q6" s="46">
        <f t="shared" si="3"/>
        <v>38</v>
      </c>
      <c r="R6">
        <f t="shared" si="4"/>
        <v>240.25</v>
      </c>
      <c r="S6">
        <f t="shared" si="5"/>
        <v>110.25</v>
      </c>
      <c r="T6" s="46">
        <f t="shared" si="6"/>
        <v>25</v>
      </c>
    </row>
    <row r="7" spans="1:20" x14ac:dyDescent="0.35">
      <c r="A7" s="39" t="s">
        <v>740</v>
      </c>
      <c r="B7" s="7" t="s">
        <v>336</v>
      </c>
      <c r="C7" s="6" t="s">
        <v>946</v>
      </c>
      <c r="D7" s="48" t="s">
        <v>301</v>
      </c>
      <c r="E7" s="50">
        <v>2025</v>
      </c>
      <c r="F7" s="53" t="s">
        <v>636</v>
      </c>
      <c r="G7" s="39">
        <v>40</v>
      </c>
      <c r="H7" s="6">
        <v>5.9</v>
      </c>
      <c r="I7" s="6">
        <v>4.4000000000000004</v>
      </c>
      <c r="J7" s="48">
        <v>1.8</v>
      </c>
      <c r="K7" s="41"/>
      <c r="L7" s="46"/>
      <c r="M7" s="13"/>
      <c r="N7" s="57">
        <v>45901</v>
      </c>
      <c r="O7" s="41">
        <f t="shared" si="1"/>
        <v>16.5</v>
      </c>
      <c r="P7">
        <f t="shared" si="2"/>
        <v>22</v>
      </c>
      <c r="Q7" s="46">
        <f t="shared" si="3"/>
        <v>14</v>
      </c>
      <c r="R7">
        <f t="shared" si="4"/>
        <v>30.25</v>
      </c>
      <c r="S7">
        <f t="shared" si="5"/>
        <v>6.25</v>
      </c>
      <c r="T7" s="46">
        <f t="shared" si="6"/>
        <v>64</v>
      </c>
    </row>
    <row r="8" spans="1:20" x14ac:dyDescent="0.35">
      <c r="A8" s="39" t="s">
        <v>740</v>
      </c>
      <c r="B8" s="6" t="s">
        <v>469</v>
      </c>
      <c r="C8" s="6" t="s">
        <v>922</v>
      </c>
      <c r="D8" s="48" t="s">
        <v>556</v>
      </c>
      <c r="E8" s="50">
        <v>2025</v>
      </c>
      <c r="F8" s="53" t="s">
        <v>678</v>
      </c>
      <c r="G8" s="39">
        <v>30</v>
      </c>
      <c r="H8" s="6">
        <v>5.3</v>
      </c>
      <c r="I8" s="6">
        <v>3.3</v>
      </c>
      <c r="J8" s="48">
        <v>0.4</v>
      </c>
      <c r="K8" s="41"/>
      <c r="L8" s="46"/>
      <c r="M8" s="13"/>
      <c r="N8" s="57">
        <v>45901</v>
      </c>
      <c r="O8" s="41">
        <f t="shared" si="1"/>
        <v>10</v>
      </c>
      <c r="P8">
        <f t="shared" si="2"/>
        <v>9.5</v>
      </c>
      <c r="Q8" s="46">
        <f t="shared" si="3"/>
        <v>5</v>
      </c>
      <c r="R8">
        <f t="shared" si="4"/>
        <v>0.25</v>
      </c>
      <c r="S8">
        <f t="shared" si="5"/>
        <v>25</v>
      </c>
      <c r="T8" s="46">
        <f t="shared" si="6"/>
        <v>20.25</v>
      </c>
    </row>
    <row r="9" spans="1:20" x14ac:dyDescent="0.35">
      <c r="A9" s="39" t="s">
        <v>195</v>
      </c>
      <c r="B9" s="6" t="s">
        <v>325</v>
      </c>
      <c r="C9" s="6" t="s">
        <v>787</v>
      </c>
      <c r="D9" s="48" t="s">
        <v>301</v>
      </c>
      <c r="E9" s="50">
        <v>2024</v>
      </c>
      <c r="F9" s="53" t="s">
        <v>636</v>
      </c>
      <c r="G9" s="39">
        <v>50</v>
      </c>
      <c r="H9" s="6">
        <v>6.5</v>
      </c>
      <c r="I9" s="6">
        <v>5.2</v>
      </c>
      <c r="J9" s="48">
        <v>3.7</v>
      </c>
      <c r="K9" s="39"/>
      <c r="L9" s="48"/>
      <c r="M9" s="13"/>
      <c r="N9" s="57">
        <v>45627</v>
      </c>
      <c r="O9" s="41">
        <f t="shared" si="1"/>
        <v>23</v>
      </c>
      <c r="P9">
        <f t="shared" si="2"/>
        <v>34.5</v>
      </c>
      <c r="Q9" s="46">
        <f t="shared" si="3"/>
        <v>34</v>
      </c>
      <c r="R9">
        <f t="shared" si="4"/>
        <v>132.25</v>
      </c>
      <c r="S9">
        <f t="shared" si="5"/>
        <v>121</v>
      </c>
      <c r="T9" s="46">
        <f t="shared" si="6"/>
        <v>0.25</v>
      </c>
    </row>
    <row r="10" spans="1:20" x14ac:dyDescent="0.35">
      <c r="A10" s="39" t="s">
        <v>743</v>
      </c>
      <c r="B10" s="6" t="s">
        <v>744</v>
      </c>
      <c r="C10" s="6" t="s">
        <v>788</v>
      </c>
      <c r="D10" s="48" t="s">
        <v>301</v>
      </c>
      <c r="E10" s="50">
        <v>2024</v>
      </c>
      <c r="F10" s="53" t="s">
        <v>636</v>
      </c>
      <c r="G10" s="39">
        <v>38</v>
      </c>
      <c r="H10" s="6">
        <v>7.1</v>
      </c>
      <c r="I10" s="6">
        <v>3.1</v>
      </c>
      <c r="J10" s="48">
        <v>1.3</v>
      </c>
      <c r="K10" s="41"/>
      <c r="L10" s="46"/>
      <c r="M10" s="13"/>
      <c r="N10" s="57">
        <v>45627</v>
      </c>
      <c r="O10" s="41">
        <f t="shared" si="1"/>
        <v>34</v>
      </c>
      <c r="P10">
        <f t="shared" si="2"/>
        <v>8</v>
      </c>
      <c r="Q10" s="46">
        <f t="shared" si="3"/>
        <v>10</v>
      </c>
      <c r="R10">
        <f t="shared" si="4"/>
        <v>676</v>
      </c>
      <c r="S10">
        <f t="shared" si="5"/>
        <v>576</v>
      </c>
      <c r="T10" s="46">
        <f t="shared" si="6"/>
        <v>4</v>
      </c>
    </row>
    <row r="11" spans="1:20" x14ac:dyDescent="0.35">
      <c r="A11" s="39" t="s">
        <v>81</v>
      </c>
      <c r="B11" s="6" t="s">
        <v>423</v>
      </c>
      <c r="C11" s="6" t="s">
        <v>792</v>
      </c>
      <c r="D11" s="48" t="s">
        <v>301</v>
      </c>
      <c r="E11" s="50">
        <v>2024</v>
      </c>
      <c r="F11" s="53" t="s">
        <v>678</v>
      </c>
      <c r="G11" s="39">
        <v>55</v>
      </c>
      <c r="H11" s="6">
        <v>9.4</v>
      </c>
      <c r="I11" s="6">
        <v>4.5</v>
      </c>
      <c r="J11" s="48">
        <v>2.7</v>
      </c>
      <c r="K11" s="39"/>
      <c r="L11" s="48"/>
      <c r="M11" s="13"/>
      <c r="N11" s="57">
        <v>45597</v>
      </c>
      <c r="O11" s="41">
        <f t="shared" si="1"/>
        <v>45</v>
      </c>
      <c r="P11">
        <f t="shared" si="2"/>
        <v>24</v>
      </c>
      <c r="Q11" s="46">
        <f t="shared" si="3"/>
        <v>22.5</v>
      </c>
      <c r="R11">
        <f t="shared" si="4"/>
        <v>441</v>
      </c>
      <c r="S11">
        <f t="shared" si="5"/>
        <v>506.25</v>
      </c>
      <c r="T11" s="46">
        <f t="shared" si="6"/>
        <v>2.25</v>
      </c>
    </row>
    <row r="12" spans="1:20" x14ac:dyDescent="0.35">
      <c r="A12" s="39" t="s">
        <v>591</v>
      </c>
      <c r="B12" s="7" t="s">
        <v>335</v>
      </c>
      <c r="C12" s="6" t="s">
        <v>793</v>
      </c>
      <c r="D12" s="48" t="s">
        <v>301</v>
      </c>
      <c r="E12" s="50">
        <v>2024</v>
      </c>
      <c r="F12" s="53" t="s">
        <v>636</v>
      </c>
      <c r="G12" s="39">
        <v>52</v>
      </c>
      <c r="H12" s="6">
        <v>7.9</v>
      </c>
      <c r="I12" s="6">
        <v>4.7</v>
      </c>
      <c r="J12" s="48">
        <v>3.1</v>
      </c>
      <c r="K12" s="39"/>
      <c r="L12" s="48"/>
      <c r="M12" s="13"/>
      <c r="N12" s="57">
        <v>45597</v>
      </c>
      <c r="O12" s="41">
        <f t="shared" si="1"/>
        <v>41</v>
      </c>
      <c r="P12">
        <f t="shared" si="2"/>
        <v>28</v>
      </c>
      <c r="Q12" s="46">
        <f t="shared" si="3"/>
        <v>28</v>
      </c>
      <c r="R12">
        <f t="shared" si="4"/>
        <v>169</v>
      </c>
      <c r="S12">
        <f t="shared" si="5"/>
        <v>169</v>
      </c>
      <c r="T12" s="46">
        <f t="shared" si="6"/>
        <v>0</v>
      </c>
    </row>
    <row r="13" spans="1:20" x14ac:dyDescent="0.35">
      <c r="A13" s="39" t="s">
        <v>582</v>
      </c>
      <c r="B13" s="6" t="s">
        <v>318</v>
      </c>
      <c r="C13" s="6" t="s">
        <v>794</v>
      </c>
      <c r="D13" s="48" t="s">
        <v>632</v>
      </c>
      <c r="E13" s="50">
        <v>2024</v>
      </c>
      <c r="F13" s="53" t="s">
        <v>636</v>
      </c>
      <c r="G13" s="39">
        <v>46</v>
      </c>
      <c r="H13" s="6">
        <v>7.9</v>
      </c>
      <c r="I13" s="6">
        <v>3.9</v>
      </c>
      <c r="J13" s="48">
        <v>2.2000000000000002</v>
      </c>
      <c r="K13" s="39"/>
      <c r="L13" s="48"/>
      <c r="M13" s="13"/>
      <c r="N13" s="57">
        <v>45597</v>
      </c>
      <c r="O13" s="41">
        <f t="shared" si="1"/>
        <v>41</v>
      </c>
      <c r="P13">
        <f t="shared" si="2"/>
        <v>16</v>
      </c>
      <c r="Q13" s="46">
        <f t="shared" si="3"/>
        <v>18</v>
      </c>
      <c r="R13">
        <f t="shared" si="4"/>
        <v>625</v>
      </c>
      <c r="S13">
        <f t="shared" si="5"/>
        <v>529</v>
      </c>
      <c r="T13" s="46">
        <f t="shared" si="6"/>
        <v>4</v>
      </c>
    </row>
    <row r="14" spans="1:20" x14ac:dyDescent="0.35">
      <c r="A14" s="39" t="s">
        <v>40</v>
      </c>
      <c r="B14" s="6" t="s">
        <v>774</v>
      </c>
      <c r="C14" s="6" t="s">
        <v>799</v>
      </c>
      <c r="D14" s="48" t="s">
        <v>785</v>
      </c>
      <c r="E14" s="50">
        <v>2024</v>
      </c>
      <c r="F14" s="53" t="s">
        <v>678</v>
      </c>
      <c r="G14" s="39">
        <v>55</v>
      </c>
      <c r="H14" s="6">
        <v>6.5</v>
      </c>
      <c r="I14" s="6">
        <v>5.6</v>
      </c>
      <c r="J14" s="48">
        <v>4.5</v>
      </c>
      <c r="K14" s="39"/>
      <c r="L14" s="48"/>
      <c r="M14" s="13"/>
      <c r="N14" s="57">
        <v>45536</v>
      </c>
      <c r="O14" s="41">
        <f t="shared" si="1"/>
        <v>23</v>
      </c>
      <c r="P14">
        <f t="shared" si="2"/>
        <v>38</v>
      </c>
      <c r="Q14" s="46">
        <f t="shared" si="3"/>
        <v>40</v>
      </c>
      <c r="R14">
        <f t="shared" si="4"/>
        <v>225</v>
      </c>
      <c r="S14">
        <f t="shared" si="5"/>
        <v>289</v>
      </c>
      <c r="T14" s="46">
        <f t="shared" si="6"/>
        <v>4</v>
      </c>
    </row>
    <row r="15" spans="1:20" x14ac:dyDescent="0.35">
      <c r="A15" s="39" t="s">
        <v>14</v>
      </c>
      <c r="B15" s="6" t="s">
        <v>316</v>
      </c>
      <c r="C15" s="6" t="s">
        <v>800</v>
      </c>
      <c r="D15" s="48" t="s">
        <v>301</v>
      </c>
      <c r="E15" s="50">
        <v>2024</v>
      </c>
      <c r="F15" s="53" t="s">
        <v>636</v>
      </c>
      <c r="G15" s="39">
        <v>53</v>
      </c>
      <c r="H15" s="6">
        <v>7</v>
      </c>
      <c r="I15" s="6">
        <v>5.2</v>
      </c>
      <c r="J15" s="48">
        <v>3.8</v>
      </c>
      <c r="K15" s="39"/>
      <c r="L15" s="48"/>
      <c r="M15" s="13"/>
      <c r="N15" s="57">
        <v>45536</v>
      </c>
      <c r="O15" s="41">
        <f t="shared" si="1"/>
        <v>32</v>
      </c>
      <c r="P15">
        <f t="shared" si="2"/>
        <v>34.5</v>
      </c>
      <c r="Q15" s="46">
        <f t="shared" si="3"/>
        <v>36.5</v>
      </c>
      <c r="R15">
        <f t="shared" si="4"/>
        <v>6.25</v>
      </c>
      <c r="S15">
        <f t="shared" si="5"/>
        <v>20.25</v>
      </c>
      <c r="T15" s="46">
        <f t="shared" si="6"/>
        <v>4</v>
      </c>
    </row>
    <row r="16" spans="1:20" x14ac:dyDescent="0.35">
      <c r="A16" s="39" t="s">
        <v>24</v>
      </c>
      <c r="B16" s="6" t="s">
        <v>25</v>
      </c>
      <c r="C16" s="6" t="s">
        <v>801</v>
      </c>
      <c r="D16" s="48" t="s">
        <v>785</v>
      </c>
      <c r="E16" s="50">
        <v>2024</v>
      </c>
      <c r="F16" s="53" t="s">
        <v>636</v>
      </c>
      <c r="G16" s="39">
        <v>37</v>
      </c>
      <c r="H16" s="6">
        <v>4.4000000000000004</v>
      </c>
      <c r="I16" s="6">
        <v>4.2</v>
      </c>
      <c r="J16" s="48">
        <v>2.5</v>
      </c>
      <c r="K16" s="41"/>
      <c r="L16" s="46"/>
      <c r="M16" s="13"/>
      <c r="N16" s="57">
        <v>45536</v>
      </c>
      <c r="O16" s="41">
        <f t="shared" si="1"/>
        <v>5</v>
      </c>
      <c r="P16">
        <f t="shared" si="2"/>
        <v>19</v>
      </c>
      <c r="Q16" s="46">
        <f t="shared" si="3"/>
        <v>20</v>
      </c>
      <c r="R16">
        <f t="shared" si="4"/>
        <v>196</v>
      </c>
      <c r="S16">
        <f t="shared" si="5"/>
        <v>225</v>
      </c>
      <c r="T16" s="46">
        <f t="shared" si="6"/>
        <v>1</v>
      </c>
    </row>
    <row r="17" spans="1:20" x14ac:dyDescent="0.35">
      <c r="A17" s="39" t="s">
        <v>746</v>
      </c>
      <c r="B17" s="6" t="s">
        <v>747</v>
      </c>
      <c r="C17" s="6" t="s">
        <v>803</v>
      </c>
      <c r="D17" s="48" t="s">
        <v>632</v>
      </c>
      <c r="E17" s="50">
        <v>2024</v>
      </c>
      <c r="F17" s="53" t="s">
        <v>678</v>
      </c>
      <c r="G17" s="39">
        <v>42</v>
      </c>
      <c r="H17" s="6">
        <v>8.6</v>
      </c>
      <c r="I17" s="6">
        <v>2.8</v>
      </c>
      <c r="J17" s="48">
        <v>1.2</v>
      </c>
      <c r="K17" s="41"/>
      <c r="L17" s="46"/>
      <c r="M17" s="13"/>
      <c r="N17" s="57">
        <v>45444</v>
      </c>
      <c r="O17" s="41">
        <f t="shared" si="1"/>
        <v>44</v>
      </c>
      <c r="P17">
        <f t="shared" si="2"/>
        <v>6</v>
      </c>
      <c r="Q17" s="46">
        <f t="shared" si="3"/>
        <v>9</v>
      </c>
      <c r="R17">
        <f t="shared" si="4"/>
        <v>1444</v>
      </c>
      <c r="S17">
        <f t="shared" si="5"/>
        <v>1225</v>
      </c>
      <c r="T17" s="46">
        <f t="shared" si="6"/>
        <v>9</v>
      </c>
    </row>
    <row r="18" spans="1:20" x14ac:dyDescent="0.35">
      <c r="A18" s="39" t="s">
        <v>738</v>
      </c>
      <c r="B18" s="6" t="s">
        <v>48</v>
      </c>
      <c r="C18" s="6" t="s">
        <v>807</v>
      </c>
      <c r="D18" s="48" t="s">
        <v>785</v>
      </c>
      <c r="E18" s="50">
        <v>2024</v>
      </c>
      <c r="F18" s="53" t="s">
        <v>678</v>
      </c>
      <c r="G18" s="39">
        <v>51</v>
      </c>
      <c r="H18" s="6">
        <v>7.9</v>
      </c>
      <c r="I18" s="6">
        <v>4.5999999999999996</v>
      </c>
      <c r="J18" s="48">
        <v>2.9</v>
      </c>
      <c r="K18" s="41"/>
      <c r="L18" s="46"/>
      <c r="M18" s="13"/>
      <c r="N18" s="57">
        <v>45352</v>
      </c>
      <c r="O18" s="41">
        <f t="shared" si="1"/>
        <v>41</v>
      </c>
      <c r="P18">
        <f t="shared" si="2"/>
        <v>25.5</v>
      </c>
      <c r="Q18" s="46">
        <f t="shared" si="3"/>
        <v>25</v>
      </c>
      <c r="R18">
        <f t="shared" si="4"/>
        <v>240.25</v>
      </c>
      <c r="S18">
        <f t="shared" si="5"/>
        <v>256</v>
      </c>
      <c r="T18" s="46">
        <f t="shared" si="6"/>
        <v>0.25</v>
      </c>
    </row>
    <row r="19" spans="1:20" x14ac:dyDescent="0.35">
      <c r="A19" s="39" t="s">
        <v>37</v>
      </c>
      <c r="B19" s="6" t="s">
        <v>750</v>
      </c>
      <c r="C19" s="6" t="s">
        <v>813</v>
      </c>
      <c r="D19" s="48" t="s">
        <v>785</v>
      </c>
      <c r="E19" s="50">
        <v>2024</v>
      </c>
      <c r="F19" s="53" t="s">
        <v>636</v>
      </c>
      <c r="G19" s="39">
        <v>51</v>
      </c>
      <c r="H19" s="6">
        <v>7.5</v>
      </c>
      <c r="I19" s="6">
        <v>4.7</v>
      </c>
      <c r="J19" s="48">
        <v>3.1</v>
      </c>
      <c r="K19" s="41"/>
      <c r="L19" s="46"/>
      <c r="M19" s="13"/>
      <c r="N19" s="57">
        <v>45323</v>
      </c>
      <c r="O19" s="41">
        <f t="shared" si="1"/>
        <v>36</v>
      </c>
      <c r="P19">
        <f t="shared" si="2"/>
        <v>28</v>
      </c>
      <c r="Q19" s="46">
        <f t="shared" si="3"/>
        <v>28</v>
      </c>
      <c r="R19">
        <f t="shared" si="4"/>
        <v>64</v>
      </c>
      <c r="S19">
        <f t="shared" si="5"/>
        <v>64</v>
      </c>
      <c r="T19" s="46">
        <f t="shared" si="6"/>
        <v>0</v>
      </c>
    </row>
    <row r="20" spans="1:20" x14ac:dyDescent="0.35">
      <c r="A20" s="39" t="s">
        <v>37</v>
      </c>
      <c r="B20" s="6" t="s">
        <v>751</v>
      </c>
      <c r="C20" s="6" t="s">
        <v>819</v>
      </c>
      <c r="D20" s="48" t="s">
        <v>301</v>
      </c>
      <c r="E20" s="50">
        <v>2023</v>
      </c>
      <c r="F20" s="53" t="s">
        <v>636</v>
      </c>
      <c r="G20" s="39">
        <v>45</v>
      </c>
      <c r="H20" s="6">
        <v>7.7</v>
      </c>
      <c r="I20" s="6">
        <v>3.9</v>
      </c>
      <c r="J20" s="48">
        <v>2.1</v>
      </c>
      <c r="K20" s="41"/>
      <c r="L20" s="46"/>
      <c r="M20" s="13"/>
      <c r="N20" s="57">
        <v>45231</v>
      </c>
      <c r="O20" s="41">
        <f t="shared" si="1"/>
        <v>39</v>
      </c>
      <c r="P20">
        <f t="shared" si="2"/>
        <v>16</v>
      </c>
      <c r="Q20" s="46">
        <f t="shared" si="3"/>
        <v>16.5</v>
      </c>
      <c r="R20">
        <f t="shared" si="4"/>
        <v>529</v>
      </c>
      <c r="S20">
        <f t="shared" si="5"/>
        <v>506.25</v>
      </c>
      <c r="T20" s="46">
        <f t="shared" si="6"/>
        <v>0.25</v>
      </c>
    </row>
    <row r="21" spans="1:20" x14ac:dyDescent="0.35">
      <c r="A21" s="39" t="s">
        <v>170</v>
      </c>
      <c r="B21" s="6" t="s">
        <v>307</v>
      </c>
      <c r="C21" s="6" t="s">
        <v>821</v>
      </c>
      <c r="D21" s="48" t="s">
        <v>301</v>
      </c>
      <c r="E21" s="50">
        <v>2023</v>
      </c>
      <c r="F21" s="53" t="s">
        <v>636</v>
      </c>
      <c r="G21" s="39">
        <v>41</v>
      </c>
      <c r="H21" s="6">
        <v>5.4</v>
      </c>
      <c r="I21" s="6">
        <v>4.4000000000000004</v>
      </c>
      <c r="J21" s="48">
        <v>2.7</v>
      </c>
      <c r="K21" s="41"/>
      <c r="L21" s="46"/>
      <c r="M21" s="13"/>
      <c r="N21" s="57">
        <v>45231</v>
      </c>
      <c r="O21" s="41">
        <f t="shared" si="1"/>
        <v>12</v>
      </c>
      <c r="P21">
        <f t="shared" si="2"/>
        <v>22</v>
      </c>
      <c r="Q21" s="46">
        <f t="shared" si="3"/>
        <v>22.5</v>
      </c>
      <c r="R21">
        <f t="shared" si="4"/>
        <v>100</v>
      </c>
      <c r="S21">
        <f t="shared" si="5"/>
        <v>110.25</v>
      </c>
      <c r="T21" s="46">
        <f t="shared" si="6"/>
        <v>0.25</v>
      </c>
    </row>
    <row r="22" spans="1:20" x14ac:dyDescent="0.35">
      <c r="A22" s="39" t="s">
        <v>591</v>
      </c>
      <c r="B22" s="6" t="s">
        <v>313</v>
      </c>
      <c r="C22" s="6" t="s">
        <v>824</v>
      </c>
      <c r="D22" s="48" t="s">
        <v>785</v>
      </c>
      <c r="E22" s="50">
        <v>2023</v>
      </c>
      <c r="F22" s="53" t="s">
        <v>636</v>
      </c>
      <c r="G22" s="39">
        <v>53</v>
      </c>
      <c r="H22" s="6">
        <v>7</v>
      </c>
      <c r="I22" s="6">
        <v>5.2</v>
      </c>
      <c r="J22" s="48">
        <v>3.8</v>
      </c>
      <c r="K22" s="41"/>
      <c r="L22" s="46"/>
      <c r="M22" s="13"/>
      <c r="N22" s="57">
        <v>45170</v>
      </c>
      <c r="O22" s="41">
        <f t="shared" si="1"/>
        <v>32</v>
      </c>
      <c r="P22">
        <f t="shared" si="2"/>
        <v>34.5</v>
      </c>
      <c r="Q22" s="46">
        <f t="shared" si="3"/>
        <v>36.5</v>
      </c>
      <c r="R22">
        <f t="shared" si="4"/>
        <v>6.25</v>
      </c>
      <c r="S22">
        <f t="shared" si="5"/>
        <v>20.25</v>
      </c>
      <c r="T22" s="46">
        <f t="shared" si="6"/>
        <v>4</v>
      </c>
    </row>
    <row r="23" spans="1:20" x14ac:dyDescent="0.35">
      <c r="A23" s="39" t="s">
        <v>32</v>
      </c>
      <c r="B23" s="6" t="s">
        <v>755</v>
      </c>
      <c r="C23" s="6" t="s">
        <v>829</v>
      </c>
      <c r="D23" s="48" t="s">
        <v>662</v>
      </c>
      <c r="E23" s="50">
        <v>2023</v>
      </c>
      <c r="F23" s="53" t="s">
        <v>678</v>
      </c>
      <c r="G23" s="39">
        <v>37</v>
      </c>
      <c r="H23" s="6">
        <v>6.9</v>
      </c>
      <c r="I23" s="6">
        <v>3.4</v>
      </c>
      <c r="J23" s="48">
        <v>0.8</v>
      </c>
      <c r="K23" s="41"/>
      <c r="L23" s="46"/>
      <c r="M23" s="13"/>
      <c r="N23" s="57">
        <v>45170</v>
      </c>
      <c r="O23" s="41">
        <f t="shared" si="1"/>
        <v>30</v>
      </c>
      <c r="P23">
        <f t="shared" si="2"/>
        <v>12</v>
      </c>
      <c r="Q23" s="46">
        <f t="shared" si="3"/>
        <v>8</v>
      </c>
      <c r="R23">
        <f t="shared" si="4"/>
        <v>324</v>
      </c>
      <c r="S23">
        <f t="shared" si="5"/>
        <v>484</v>
      </c>
      <c r="T23" s="46">
        <f t="shared" si="6"/>
        <v>16</v>
      </c>
    </row>
    <row r="24" spans="1:20" x14ac:dyDescent="0.35">
      <c r="A24" s="39" t="s">
        <v>49</v>
      </c>
      <c r="B24" s="6" t="s">
        <v>479</v>
      </c>
      <c r="C24" s="6" t="s">
        <v>830</v>
      </c>
      <c r="D24" s="48" t="s">
        <v>578</v>
      </c>
      <c r="E24" s="50">
        <v>2023</v>
      </c>
      <c r="F24" s="53" t="s">
        <v>636</v>
      </c>
      <c r="G24" s="39">
        <v>11</v>
      </c>
      <c r="H24" s="6">
        <v>3.5</v>
      </c>
      <c r="I24" s="6">
        <v>0</v>
      </c>
      <c r="J24" s="48">
        <v>0</v>
      </c>
      <c r="K24" s="41"/>
      <c r="L24" s="46"/>
      <c r="M24" s="13"/>
      <c r="N24" s="57">
        <v>45170</v>
      </c>
      <c r="O24" s="41">
        <f t="shared" si="1"/>
        <v>2.5</v>
      </c>
      <c r="P24">
        <f t="shared" si="2"/>
        <v>1</v>
      </c>
      <c r="Q24" s="46">
        <f t="shared" si="3"/>
        <v>2.5</v>
      </c>
      <c r="R24">
        <f t="shared" si="4"/>
        <v>2.25</v>
      </c>
      <c r="S24">
        <f t="shared" si="5"/>
        <v>0</v>
      </c>
      <c r="T24" s="46">
        <f t="shared" si="6"/>
        <v>2.25</v>
      </c>
    </row>
    <row r="25" spans="1:20" x14ac:dyDescent="0.35">
      <c r="A25" s="39" t="s">
        <v>37</v>
      </c>
      <c r="B25" s="6" t="s">
        <v>756</v>
      </c>
      <c r="C25" s="6" t="s">
        <v>832</v>
      </c>
      <c r="D25" s="48" t="s">
        <v>785</v>
      </c>
      <c r="E25" s="50">
        <v>2023</v>
      </c>
      <c r="F25" s="53" t="s">
        <v>678</v>
      </c>
      <c r="G25" s="39">
        <v>55</v>
      </c>
      <c r="H25" s="6">
        <v>7.6</v>
      </c>
      <c r="I25" s="6">
        <v>5.2</v>
      </c>
      <c r="J25" s="48">
        <v>3.5</v>
      </c>
      <c r="K25" s="41"/>
      <c r="L25" s="46"/>
      <c r="M25" s="13"/>
      <c r="N25" s="57">
        <v>45078</v>
      </c>
      <c r="O25" s="41">
        <f t="shared" si="1"/>
        <v>37.5</v>
      </c>
      <c r="P25">
        <f t="shared" si="2"/>
        <v>34.5</v>
      </c>
      <c r="Q25" s="46">
        <f t="shared" si="3"/>
        <v>32</v>
      </c>
      <c r="R25">
        <f t="shared" si="4"/>
        <v>9</v>
      </c>
      <c r="S25">
        <f t="shared" si="5"/>
        <v>30.25</v>
      </c>
      <c r="T25" s="46">
        <f t="shared" si="6"/>
        <v>6.25</v>
      </c>
    </row>
    <row r="26" spans="1:20" x14ac:dyDescent="0.35">
      <c r="A26" s="39" t="s">
        <v>195</v>
      </c>
      <c r="B26" s="7" t="s">
        <v>757</v>
      </c>
      <c r="C26" s="6" t="s">
        <v>833</v>
      </c>
      <c r="D26" s="48" t="s">
        <v>541</v>
      </c>
      <c r="E26" s="50">
        <v>2023</v>
      </c>
      <c r="F26" s="53" t="s">
        <v>636</v>
      </c>
      <c r="G26" s="39">
        <v>47</v>
      </c>
      <c r="H26" s="6">
        <v>6.1</v>
      </c>
      <c r="I26" s="6">
        <v>4.8</v>
      </c>
      <c r="J26" s="48">
        <v>3.3</v>
      </c>
      <c r="K26" s="41"/>
      <c r="L26" s="46"/>
      <c r="M26" s="13"/>
      <c r="N26" s="57">
        <v>45078</v>
      </c>
      <c r="O26" s="41">
        <f t="shared" si="1"/>
        <v>18</v>
      </c>
      <c r="P26">
        <f t="shared" si="2"/>
        <v>30</v>
      </c>
      <c r="Q26" s="46">
        <f t="shared" si="3"/>
        <v>31</v>
      </c>
      <c r="R26">
        <f t="shared" si="4"/>
        <v>144</v>
      </c>
      <c r="S26">
        <f t="shared" si="5"/>
        <v>169</v>
      </c>
      <c r="T26" s="46">
        <f t="shared" si="6"/>
        <v>1</v>
      </c>
    </row>
    <row r="27" spans="1:20" x14ac:dyDescent="0.35">
      <c r="A27" s="39" t="s">
        <v>81</v>
      </c>
      <c r="B27" s="6" t="s">
        <v>758</v>
      </c>
      <c r="C27" s="6" t="s">
        <v>834</v>
      </c>
      <c r="D27" s="48" t="s">
        <v>781</v>
      </c>
      <c r="E27" s="50">
        <v>2023</v>
      </c>
      <c r="F27" s="54" t="s">
        <v>636</v>
      </c>
      <c r="G27" s="39">
        <v>47</v>
      </c>
      <c r="H27" s="6">
        <v>6.7</v>
      </c>
      <c r="I27" s="6">
        <v>4.5999999999999996</v>
      </c>
      <c r="J27" s="48">
        <v>3</v>
      </c>
      <c r="K27" s="39"/>
      <c r="L27" s="48"/>
      <c r="M27" s="13"/>
      <c r="N27" s="57">
        <v>45078</v>
      </c>
      <c r="O27" s="41">
        <f t="shared" si="1"/>
        <v>27.5</v>
      </c>
      <c r="P27">
        <f t="shared" si="2"/>
        <v>25.5</v>
      </c>
      <c r="Q27" s="46">
        <f t="shared" si="3"/>
        <v>26</v>
      </c>
      <c r="R27">
        <f t="shared" si="4"/>
        <v>4</v>
      </c>
      <c r="S27">
        <f t="shared" si="5"/>
        <v>2.25</v>
      </c>
      <c r="T27" s="46">
        <f t="shared" si="6"/>
        <v>0.25</v>
      </c>
    </row>
    <row r="28" spans="1:20" x14ac:dyDescent="0.35">
      <c r="A28" s="39" t="s">
        <v>49</v>
      </c>
      <c r="B28" s="6" t="s">
        <v>496</v>
      </c>
      <c r="C28" s="6" t="s">
        <v>835</v>
      </c>
      <c r="D28" s="48" t="s">
        <v>632</v>
      </c>
      <c r="E28" s="50">
        <v>2023</v>
      </c>
      <c r="F28" s="53" t="s">
        <v>636</v>
      </c>
      <c r="G28" s="39">
        <v>33</v>
      </c>
      <c r="H28" s="6">
        <v>5.0999999999999996</v>
      </c>
      <c r="I28" s="6">
        <v>3.4</v>
      </c>
      <c r="J28" s="48">
        <v>1.5</v>
      </c>
      <c r="K28" s="39"/>
      <c r="L28" s="48"/>
      <c r="M28" s="13"/>
      <c r="N28" s="57">
        <v>45078</v>
      </c>
      <c r="O28" s="41">
        <f t="shared" si="1"/>
        <v>7</v>
      </c>
      <c r="P28">
        <f t="shared" si="2"/>
        <v>12</v>
      </c>
      <c r="Q28" s="46">
        <f t="shared" si="3"/>
        <v>11</v>
      </c>
      <c r="R28">
        <f t="shared" si="4"/>
        <v>25</v>
      </c>
      <c r="S28">
        <f t="shared" si="5"/>
        <v>16</v>
      </c>
      <c r="T28" s="46">
        <f t="shared" si="6"/>
        <v>1</v>
      </c>
    </row>
    <row r="29" spans="1:20" x14ac:dyDescent="0.35">
      <c r="A29" s="39" t="s">
        <v>14</v>
      </c>
      <c r="B29" s="6" t="s">
        <v>311</v>
      </c>
      <c r="C29" s="6" t="s">
        <v>838</v>
      </c>
      <c r="D29" s="48" t="s">
        <v>301</v>
      </c>
      <c r="E29" s="50">
        <v>2023</v>
      </c>
      <c r="F29" s="53" t="s">
        <v>636</v>
      </c>
      <c r="G29" s="39">
        <v>50</v>
      </c>
      <c r="H29" s="6">
        <v>8</v>
      </c>
      <c r="I29" s="6">
        <v>4.4000000000000004</v>
      </c>
      <c r="J29" s="48">
        <v>2.8</v>
      </c>
      <c r="K29" s="41"/>
      <c r="L29" s="46"/>
      <c r="M29" s="13"/>
      <c r="N29" s="57">
        <v>45017</v>
      </c>
      <c r="O29" s="41">
        <f t="shared" si="1"/>
        <v>43</v>
      </c>
      <c r="P29">
        <f t="shared" si="2"/>
        <v>22</v>
      </c>
      <c r="Q29" s="46">
        <f t="shared" si="3"/>
        <v>24</v>
      </c>
      <c r="R29">
        <f t="shared" si="4"/>
        <v>441</v>
      </c>
      <c r="S29">
        <f t="shared" si="5"/>
        <v>361</v>
      </c>
      <c r="T29" s="46">
        <f t="shared" si="6"/>
        <v>4</v>
      </c>
    </row>
    <row r="30" spans="1:20" x14ac:dyDescent="0.35">
      <c r="A30" s="39" t="s">
        <v>96</v>
      </c>
      <c r="B30" s="6" t="s">
        <v>759</v>
      </c>
      <c r="C30" s="6" t="s">
        <v>839</v>
      </c>
      <c r="D30" s="48" t="s">
        <v>301</v>
      </c>
      <c r="E30" s="50">
        <v>2023</v>
      </c>
      <c r="F30" s="53" t="s">
        <v>636</v>
      </c>
      <c r="G30" s="39">
        <v>43</v>
      </c>
      <c r="H30" s="6">
        <v>6.6</v>
      </c>
      <c r="I30" s="6">
        <v>4</v>
      </c>
      <c r="J30" s="48">
        <v>2.2999999999999998</v>
      </c>
      <c r="K30" s="41"/>
      <c r="L30" s="46"/>
      <c r="M30" s="13"/>
      <c r="N30" s="57">
        <v>45017</v>
      </c>
      <c r="O30" s="41">
        <f t="shared" si="1"/>
        <v>25.5</v>
      </c>
      <c r="P30">
        <f t="shared" si="2"/>
        <v>18</v>
      </c>
      <c r="Q30" s="46">
        <f t="shared" si="3"/>
        <v>19</v>
      </c>
      <c r="R30">
        <f t="shared" si="4"/>
        <v>56.25</v>
      </c>
      <c r="S30">
        <f t="shared" si="5"/>
        <v>42.25</v>
      </c>
      <c r="T30" s="46">
        <f t="shared" si="6"/>
        <v>1</v>
      </c>
    </row>
    <row r="31" spans="1:20" x14ac:dyDescent="0.35">
      <c r="A31" s="39" t="s">
        <v>29</v>
      </c>
      <c r="B31" s="7" t="s">
        <v>760</v>
      </c>
      <c r="C31" s="6" t="s">
        <v>841</v>
      </c>
      <c r="D31" s="48" t="s">
        <v>676</v>
      </c>
      <c r="E31" s="50">
        <v>2023</v>
      </c>
      <c r="F31" s="53" t="s">
        <v>678</v>
      </c>
      <c r="G31" s="39">
        <v>19</v>
      </c>
      <c r="H31" s="6">
        <v>5.3</v>
      </c>
      <c r="I31" s="6">
        <v>0.5</v>
      </c>
      <c r="J31" s="48">
        <v>0</v>
      </c>
      <c r="K31" s="41"/>
      <c r="L31" s="46"/>
      <c r="M31" s="13"/>
      <c r="N31" s="57">
        <v>45017</v>
      </c>
      <c r="O31" s="41">
        <f t="shared" si="1"/>
        <v>10</v>
      </c>
      <c r="P31">
        <f t="shared" si="2"/>
        <v>2</v>
      </c>
      <c r="Q31" s="46">
        <f t="shared" si="3"/>
        <v>2.5</v>
      </c>
      <c r="R31">
        <f t="shared" si="4"/>
        <v>64</v>
      </c>
      <c r="S31">
        <f t="shared" si="5"/>
        <v>56.25</v>
      </c>
      <c r="T31" s="46">
        <f t="shared" si="6"/>
        <v>0.25</v>
      </c>
    </row>
    <row r="32" spans="1:20" x14ac:dyDescent="0.35">
      <c r="A32" s="39" t="s">
        <v>738</v>
      </c>
      <c r="B32" s="6" t="s">
        <v>291</v>
      </c>
      <c r="C32" s="6" t="s">
        <v>842</v>
      </c>
      <c r="D32" s="48" t="s">
        <v>301</v>
      </c>
      <c r="E32" s="50">
        <v>2023</v>
      </c>
      <c r="F32" s="53" t="s">
        <v>678</v>
      </c>
      <c r="G32" s="39">
        <v>57</v>
      </c>
      <c r="H32" s="6">
        <v>6.5</v>
      </c>
      <c r="I32" s="6">
        <v>5.8</v>
      </c>
      <c r="J32" s="48">
        <v>4.8</v>
      </c>
      <c r="K32" s="41"/>
      <c r="L32" s="46"/>
      <c r="M32" s="13"/>
      <c r="N32" s="57">
        <v>44958</v>
      </c>
      <c r="O32" s="41">
        <f t="shared" si="1"/>
        <v>23</v>
      </c>
      <c r="P32">
        <f t="shared" si="2"/>
        <v>40</v>
      </c>
      <c r="Q32" s="46">
        <f t="shared" si="3"/>
        <v>42.5</v>
      </c>
      <c r="R32">
        <f t="shared" si="4"/>
        <v>289</v>
      </c>
      <c r="S32">
        <f t="shared" si="5"/>
        <v>380.25</v>
      </c>
      <c r="T32" s="46">
        <f t="shared" si="6"/>
        <v>6.25</v>
      </c>
    </row>
    <row r="33" spans="1:20" x14ac:dyDescent="0.35">
      <c r="A33" s="39" t="s">
        <v>24</v>
      </c>
      <c r="B33" s="6" t="s">
        <v>165</v>
      </c>
      <c r="C33" s="6" t="s">
        <v>843</v>
      </c>
      <c r="D33" s="48" t="s">
        <v>541</v>
      </c>
      <c r="E33" s="50">
        <v>2023</v>
      </c>
      <c r="F33" s="53" t="s">
        <v>636</v>
      </c>
      <c r="G33" s="39">
        <v>51</v>
      </c>
      <c r="H33" s="6">
        <v>5.3</v>
      </c>
      <c r="I33" s="6">
        <v>5.7</v>
      </c>
      <c r="J33" s="48">
        <v>4.3</v>
      </c>
      <c r="K33" s="39"/>
      <c r="L33" s="48"/>
      <c r="M33" s="13"/>
      <c r="N33" s="57">
        <v>44958</v>
      </c>
      <c r="O33" s="41">
        <f t="shared" si="1"/>
        <v>10</v>
      </c>
      <c r="P33">
        <f t="shared" si="2"/>
        <v>39</v>
      </c>
      <c r="Q33" s="46">
        <f t="shared" si="3"/>
        <v>39</v>
      </c>
      <c r="R33">
        <f t="shared" si="4"/>
        <v>841</v>
      </c>
      <c r="S33">
        <f t="shared" si="5"/>
        <v>841</v>
      </c>
      <c r="T33" s="46">
        <f t="shared" si="6"/>
        <v>0</v>
      </c>
    </row>
    <row r="34" spans="1:20" x14ac:dyDescent="0.35">
      <c r="A34" s="39" t="s">
        <v>14</v>
      </c>
      <c r="B34" s="6" t="s">
        <v>275</v>
      </c>
      <c r="C34" s="6" t="s">
        <v>838</v>
      </c>
      <c r="D34" s="48" t="s">
        <v>632</v>
      </c>
      <c r="E34" s="50">
        <v>2023</v>
      </c>
      <c r="F34" s="53" t="s">
        <v>636</v>
      </c>
      <c r="G34" s="39">
        <v>40</v>
      </c>
      <c r="H34" s="6">
        <v>6.2</v>
      </c>
      <c r="I34" s="6">
        <v>3.9</v>
      </c>
      <c r="J34" s="48">
        <v>2.1</v>
      </c>
      <c r="K34" s="41"/>
      <c r="L34" s="46"/>
      <c r="M34" s="13"/>
      <c r="N34" s="57">
        <v>44958</v>
      </c>
      <c r="O34" s="41">
        <f t="shared" si="1"/>
        <v>19.5</v>
      </c>
      <c r="P34">
        <f t="shared" si="2"/>
        <v>16</v>
      </c>
      <c r="Q34" s="46">
        <f t="shared" si="3"/>
        <v>16.5</v>
      </c>
      <c r="R34">
        <f t="shared" si="4"/>
        <v>12.25</v>
      </c>
      <c r="S34">
        <f t="shared" si="5"/>
        <v>9</v>
      </c>
      <c r="T34" s="46">
        <f t="shared" si="6"/>
        <v>0.25</v>
      </c>
    </row>
    <row r="35" spans="1:20" x14ac:dyDescent="0.35">
      <c r="A35" s="39" t="s">
        <v>49</v>
      </c>
      <c r="B35" s="6" t="s">
        <v>297</v>
      </c>
      <c r="C35" s="6" t="s">
        <v>845</v>
      </c>
      <c r="D35" s="48" t="s">
        <v>541</v>
      </c>
      <c r="E35" s="50">
        <v>2022</v>
      </c>
      <c r="F35" s="53" t="s">
        <v>636</v>
      </c>
      <c r="G35" s="39">
        <v>47</v>
      </c>
      <c r="H35" s="6">
        <v>5.2</v>
      </c>
      <c r="I35" s="6">
        <v>5.2</v>
      </c>
      <c r="J35" s="48">
        <v>3.7</v>
      </c>
      <c r="K35" s="41"/>
      <c r="L35" s="46"/>
      <c r="M35" s="13"/>
      <c r="N35" s="57">
        <v>44896</v>
      </c>
      <c r="O35" s="41">
        <f t="shared" si="1"/>
        <v>8</v>
      </c>
      <c r="P35">
        <f t="shared" si="2"/>
        <v>34.5</v>
      </c>
      <c r="Q35" s="46">
        <f t="shared" si="3"/>
        <v>34</v>
      </c>
      <c r="R35">
        <f t="shared" si="4"/>
        <v>702.25</v>
      </c>
      <c r="S35">
        <f t="shared" si="5"/>
        <v>676</v>
      </c>
      <c r="T35" s="46">
        <f t="shared" si="6"/>
        <v>0.25</v>
      </c>
    </row>
    <row r="36" spans="1:20" x14ac:dyDescent="0.35">
      <c r="A36" s="39" t="s">
        <v>81</v>
      </c>
      <c r="B36" s="6" t="s">
        <v>761</v>
      </c>
      <c r="C36" s="6" t="s">
        <v>848</v>
      </c>
      <c r="D36" s="48" t="s">
        <v>632</v>
      </c>
      <c r="E36" s="50">
        <v>2022</v>
      </c>
      <c r="F36" s="53" t="s">
        <v>636</v>
      </c>
      <c r="G36" s="39">
        <v>42</v>
      </c>
      <c r="H36" s="6">
        <v>7.6</v>
      </c>
      <c r="I36" s="6">
        <v>3.3</v>
      </c>
      <c r="J36" s="48">
        <v>1.7</v>
      </c>
      <c r="K36" s="41"/>
      <c r="L36" s="46"/>
      <c r="M36" s="13"/>
      <c r="N36" s="57">
        <v>44896</v>
      </c>
      <c r="O36" s="41">
        <f t="shared" si="1"/>
        <v>37.5</v>
      </c>
      <c r="P36">
        <f t="shared" si="2"/>
        <v>9.5</v>
      </c>
      <c r="Q36" s="46">
        <f t="shared" si="3"/>
        <v>13</v>
      </c>
      <c r="R36">
        <f t="shared" si="4"/>
        <v>784</v>
      </c>
      <c r="S36">
        <f t="shared" si="5"/>
        <v>600.25</v>
      </c>
      <c r="T36" s="46">
        <f t="shared" si="6"/>
        <v>12.25</v>
      </c>
    </row>
    <row r="37" spans="1:20" x14ac:dyDescent="0.35">
      <c r="A37" s="39" t="s">
        <v>328</v>
      </c>
      <c r="B37" s="6" t="s">
        <v>762</v>
      </c>
      <c r="C37" s="6" t="s">
        <v>850</v>
      </c>
      <c r="D37" s="48" t="s">
        <v>556</v>
      </c>
      <c r="E37" s="50">
        <v>2022</v>
      </c>
      <c r="F37" s="53" t="s">
        <v>678</v>
      </c>
      <c r="G37" s="39">
        <v>26</v>
      </c>
      <c r="H37" s="6">
        <v>6.8</v>
      </c>
      <c r="I37" s="6">
        <v>1</v>
      </c>
      <c r="J37" s="48">
        <v>0</v>
      </c>
      <c r="K37" s="41"/>
      <c r="L37" s="46"/>
      <c r="M37" s="13"/>
      <c r="N37" s="57">
        <v>44896</v>
      </c>
      <c r="O37" s="41">
        <f t="shared" si="1"/>
        <v>29</v>
      </c>
      <c r="P37">
        <f t="shared" si="2"/>
        <v>4</v>
      </c>
      <c r="Q37" s="46">
        <f t="shared" si="3"/>
        <v>2.5</v>
      </c>
      <c r="R37">
        <f t="shared" si="4"/>
        <v>625</v>
      </c>
      <c r="S37">
        <f t="shared" si="5"/>
        <v>702.25</v>
      </c>
      <c r="T37" s="46">
        <f t="shared" si="6"/>
        <v>2.25</v>
      </c>
    </row>
    <row r="38" spans="1:20" x14ac:dyDescent="0.35">
      <c r="A38" s="39" t="s">
        <v>53</v>
      </c>
      <c r="B38" s="7" t="s">
        <v>775</v>
      </c>
      <c r="C38" s="6" t="s">
        <v>853</v>
      </c>
      <c r="D38" s="48" t="s">
        <v>785</v>
      </c>
      <c r="E38" s="50">
        <v>2022</v>
      </c>
      <c r="F38" s="53" t="s">
        <v>636</v>
      </c>
      <c r="G38" s="39">
        <v>30</v>
      </c>
      <c r="H38" s="6">
        <v>3.5</v>
      </c>
      <c r="I38" s="6">
        <v>3.5</v>
      </c>
      <c r="J38" s="48">
        <v>2</v>
      </c>
      <c r="K38" s="41"/>
      <c r="L38" s="46"/>
      <c r="M38" s="13"/>
      <c r="N38" s="57">
        <v>44866</v>
      </c>
      <c r="O38" s="41">
        <f t="shared" si="1"/>
        <v>2.5</v>
      </c>
      <c r="P38">
        <f t="shared" si="2"/>
        <v>14</v>
      </c>
      <c r="Q38" s="46">
        <f t="shared" si="3"/>
        <v>15</v>
      </c>
      <c r="R38">
        <f t="shared" si="4"/>
        <v>132.25</v>
      </c>
      <c r="S38">
        <f t="shared" si="5"/>
        <v>156.25</v>
      </c>
      <c r="T38" s="46">
        <f t="shared" si="6"/>
        <v>1</v>
      </c>
    </row>
    <row r="39" spans="1:20" x14ac:dyDescent="0.35">
      <c r="A39" s="41" t="s">
        <v>591</v>
      </c>
      <c r="B39" t="s">
        <v>8</v>
      </c>
      <c r="C39" t="s">
        <v>857</v>
      </c>
      <c r="D39" s="46" t="s">
        <v>785</v>
      </c>
      <c r="E39" s="13">
        <v>2022</v>
      </c>
      <c r="F39" s="54" t="s">
        <v>636</v>
      </c>
      <c r="G39" s="41">
        <v>55</v>
      </c>
      <c r="H39">
        <v>5.8</v>
      </c>
      <c r="I39">
        <v>6</v>
      </c>
      <c r="J39" s="46">
        <v>4.9000000000000004</v>
      </c>
      <c r="K39" s="41"/>
      <c r="L39" s="46"/>
      <c r="M39" s="13"/>
      <c r="N39" s="58">
        <v>44835</v>
      </c>
      <c r="O39" s="41">
        <f t="shared" si="1"/>
        <v>14</v>
      </c>
      <c r="P39">
        <f t="shared" si="2"/>
        <v>41.5</v>
      </c>
      <c r="Q39" s="46">
        <f t="shared" si="3"/>
        <v>44</v>
      </c>
      <c r="R39">
        <f t="shared" si="4"/>
        <v>756.25</v>
      </c>
      <c r="S39">
        <f t="shared" si="5"/>
        <v>900</v>
      </c>
      <c r="T39" s="46">
        <f t="shared" si="6"/>
        <v>6.25</v>
      </c>
    </row>
    <row r="40" spans="1:20" x14ac:dyDescent="0.35">
      <c r="A40" s="41" t="s">
        <v>767</v>
      </c>
      <c r="B40" t="s">
        <v>189</v>
      </c>
      <c r="C40" t="s">
        <v>862</v>
      </c>
      <c r="D40" s="46" t="s">
        <v>541</v>
      </c>
      <c r="E40" s="13">
        <v>2022</v>
      </c>
      <c r="F40" s="54" t="s">
        <v>636</v>
      </c>
      <c r="G40" s="41">
        <v>48</v>
      </c>
      <c r="H40">
        <v>5.8</v>
      </c>
      <c r="I40">
        <v>5.0999999999999996</v>
      </c>
      <c r="J40" s="46">
        <v>3.7</v>
      </c>
      <c r="K40" s="41"/>
      <c r="L40" s="46"/>
      <c r="M40" s="13"/>
      <c r="N40" s="58">
        <v>44835</v>
      </c>
      <c r="O40" s="41">
        <f t="shared" si="1"/>
        <v>14</v>
      </c>
      <c r="P40">
        <f t="shared" si="2"/>
        <v>31</v>
      </c>
      <c r="Q40" s="46">
        <f t="shared" si="3"/>
        <v>34</v>
      </c>
      <c r="R40">
        <f t="shared" si="4"/>
        <v>289</v>
      </c>
      <c r="S40">
        <f t="shared" si="5"/>
        <v>400</v>
      </c>
      <c r="T40" s="46">
        <f t="shared" si="6"/>
        <v>9</v>
      </c>
    </row>
    <row r="41" spans="1:20" x14ac:dyDescent="0.35">
      <c r="A41" s="41" t="s">
        <v>45</v>
      </c>
      <c r="B41" t="s">
        <v>168</v>
      </c>
      <c r="C41" t="s">
        <v>864</v>
      </c>
      <c r="D41" s="46" t="s">
        <v>541</v>
      </c>
      <c r="E41" s="13">
        <v>2022</v>
      </c>
      <c r="F41" s="54" t="s">
        <v>636</v>
      </c>
      <c r="G41" s="41">
        <v>56</v>
      </c>
      <c r="H41">
        <v>6.2</v>
      </c>
      <c r="I41">
        <v>6</v>
      </c>
      <c r="J41" s="46">
        <v>4.8</v>
      </c>
      <c r="K41" s="41"/>
      <c r="L41" s="46"/>
      <c r="M41" s="13"/>
      <c r="N41" s="58">
        <v>44774</v>
      </c>
      <c r="O41" s="41">
        <f t="shared" si="1"/>
        <v>19.5</v>
      </c>
      <c r="P41">
        <f t="shared" si="2"/>
        <v>41.5</v>
      </c>
      <c r="Q41" s="46">
        <f t="shared" si="3"/>
        <v>42.5</v>
      </c>
      <c r="R41">
        <f t="shared" si="4"/>
        <v>484</v>
      </c>
      <c r="S41">
        <f t="shared" si="5"/>
        <v>529</v>
      </c>
      <c r="T41" s="46">
        <f t="shared" si="6"/>
        <v>1</v>
      </c>
    </row>
    <row r="42" spans="1:20" x14ac:dyDescent="0.35">
      <c r="A42" s="41" t="s">
        <v>769</v>
      </c>
      <c r="B42" t="s">
        <v>770</v>
      </c>
      <c r="C42" t="s">
        <v>867</v>
      </c>
      <c r="D42" s="46" t="s">
        <v>662</v>
      </c>
      <c r="E42" s="13">
        <v>2022</v>
      </c>
      <c r="F42" s="54" t="s">
        <v>678</v>
      </c>
      <c r="G42" s="41">
        <v>31</v>
      </c>
      <c r="H42">
        <v>5.8</v>
      </c>
      <c r="I42">
        <v>2.9</v>
      </c>
      <c r="J42" s="46">
        <v>0.7</v>
      </c>
      <c r="K42" s="41"/>
      <c r="L42" s="46"/>
      <c r="M42" s="13"/>
      <c r="N42" s="58">
        <v>44743</v>
      </c>
      <c r="O42" s="41">
        <f t="shared" si="1"/>
        <v>14</v>
      </c>
      <c r="P42">
        <f t="shared" si="2"/>
        <v>7</v>
      </c>
      <c r="Q42" s="46">
        <f t="shared" si="3"/>
        <v>6.5</v>
      </c>
      <c r="R42">
        <f t="shared" si="4"/>
        <v>49</v>
      </c>
      <c r="S42">
        <f t="shared" si="5"/>
        <v>56.25</v>
      </c>
      <c r="T42" s="46">
        <f t="shared" si="6"/>
        <v>0.25</v>
      </c>
    </row>
    <row r="43" spans="1:20" x14ac:dyDescent="0.35">
      <c r="A43" s="41" t="s">
        <v>363</v>
      </c>
      <c r="B43" t="s">
        <v>453</v>
      </c>
      <c r="C43" t="s">
        <v>868</v>
      </c>
      <c r="D43" s="46" t="s">
        <v>781</v>
      </c>
      <c r="E43" s="13">
        <v>2022</v>
      </c>
      <c r="F43" s="54" t="s">
        <v>636</v>
      </c>
      <c r="G43" s="41">
        <v>26</v>
      </c>
      <c r="H43">
        <v>5</v>
      </c>
      <c r="I43">
        <v>2.1</v>
      </c>
      <c r="J43" s="46">
        <v>0.7</v>
      </c>
      <c r="K43" s="41"/>
      <c r="L43" s="46"/>
      <c r="M43" s="13"/>
      <c r="N43" s="58">
        <v>44743</v>
      </c>
      <c r="O43" s="41">
        <f t="shared" si="1"/>
        <v>6</v>
      </c>
      <c r="P43">
        <f t="shared" si="2"/>
        <v>5</v>
      </c>
      <c r="Q43" s="46">
        <f t="shared" si="3"/>
        <v>6.5</v>
      </c>
      <c r="R43">
        <f t="shared" si="4"/>
        <v>1</v>
      </c>
      <c r="S43">
        <f t="shared" si="5"/>
        <v>0.25</v>
      </c>
      <c r="T43" s="46">
        <f t="shared" si="6"/>
        <v>2.25</v>
      </c>
    </row>
    <row r="44" spans="1:20" x14ac:dyDescent="0.35">
      <c r="A44" s="41" t="s">
        <v>14</v>
      </c>
      <c r="B44" t="s">
        <v>495</v>
      </c>
      <c r="C44" t="s">
        <v>871</v>
      </c>
      <c r="D44" s="46" t="s">
        <v>632</v>
      </c>
      <c r="E44" s="13">
        <v>2022</v>
      </c>
      <c r="F44" s="54" t="s">
        <v>636</v>
      </c>
      <c r="G44" s="41">
        <v>44</v>
      </c>
      <c r="H44">
        <v>6.4</v>
      </c>
      <c r="I44">
        <v>4.3</v>
      </c>
      <c r="J44" s="46">
        <v>2.6</v>
      </c>
      <c r="K44" s="41"/>
      <c r="L44" s="46"/>
      <c r="M44" s="13"/>
      <c r="N44" s="58">
        <v>44713</v>
      </c>
      <c r="O44" s="41">
        <f t="shared" si="1"/>
        <v>21</v>
      </c>
      <c r="P44">
        <f t="shared" si="2"/>
        <v>20</v>
      </c>
      <c r="Q44" s="46">
        <f t="shared" si="3"/>
        <v>21</v>
      </c>
      <c r="R44">
        <f t="shared" si="4"/>
        <v>1</v>
      </c>
      <c r="S44">
        <f t="shared" si="5"/>
        <v>0</v>
      </c>
      <c r="T44" s="46">
        <f t="shared" si="6"/>
        <v>1</v>
      </c>
    </row>
    <row r="45" spans="1:20" x14ac:dyDescent="0.35">
      <c r="A45" s="41" t="s">
        <v>106</v>
      </c>
      <c r="B45" t="s">
        <v>492</v>
      </c>
      <c r="C45" t="s">
        <v>787</v>
      </c>
      <c r="D45" s="46" t="s">
        <v>632</v>
      </c>
      <c r="E45" s="13">
        <v>2022</v>
      </c>
      <c r="F45" s="54" t="s">
        <v>636</v>
      </c>
      <c r="G45" s="41">
        <v>40</v>
      </c>
      <c r="H45">
        <v>7.2</v>
      </c>
      <c r="I45">
        <v>3.4</v>
      </c>
      <c r="J45" s="46">
        <v>1.6</v>
      </c>
      <c r="K45" s="41"/>
      <c r="L45" s="46"/>
      <c r="M45" s="13"/>
      <c r="N45" s="58">
        <v>44713</v>
      </c>
      <c r="O45" s="41">
        <f t="shared" si="1"/>
        <v>35</v>
      </c>
      <c r="P45">
        <f t="shared" si="2"/>
        <v>12</v>
      </c>
      <c r="Q45" s="46">
        <f t="shared" si="3"/>
        <v>12</v>
      </c>
      <c r="R45">
        <f t="shared" si="4"/>
        <v>529</v>
      </c>
      <c r="S45">
        <f t="shared" si="5"/>
        <v>529</v>
      </c>
      <c r="T45" s="46">
        <f t="shared" si="6"/>
        <v>0</v>
      </c>
    </row>
    <row r="46" spans="1:20" x14ac:dyDescent="0.35">
      <c r="A46" s="41" t="s">
        <v>40</v>
      </c>
      <c r="B46" t="s">
        <v>774</v>
      </c>
      <c r="C46" t="s">
        <v>872</v>
      </c>
      <c r="D46" s="46" t="s">
        <v>785</v>
      </c>
      <c r="E46" s="13">
        <v>2022</v>
      </c>
      <c r="F46" s="54" t="s">
        <v>636</v>
      </c>
      <c r="G46" s="41">
        <v>39</v>
      </c>
      <c r="H46">
        <v>3.9</v>
      </c>
      <c r="I46">
        <v>4.7</v>
      </c>
      <c r="J46" s="46">
        <v>3.2</v>
      </c>
      <c r="K46" s="41"/>
      <c r="L46" s="46"/>
      <c r="M46" s="13"/>
      <c r="N46" s="58">
        <v>44713</v>
      </c>
      <c r="O46" s="41">
        <f t="shared" si="1"/>
        <v>4</v>
      </c>
      <c r="P46">
        <f t="shared" si="2"/>
        <v>28</v>
      </c>
      <c r="Q46" s="46">
        <f t="shared" si="3"/>
        <v>30</v>
      </c>
      <c r="R46">
        <f t="shared" si="4"/>
        <v>576</v>
      </c>
      <c r="S46">
        <f t="shared" si="5"/>
        <v>676</v>
      </c>
      <c r="T46" s="46">
        <f t="shared" si="6"/>
        <v>4</v>
      </c>
    </row>
    <row r="47" spans="1:20" ht="15" thickBot="1" x14ac:dyDescent="0.4">
      <c r="A47" s="43" t="s">
        <v>769</v>
      </c>
      <c r="B47" s="44" t="s">
        <v>773</v>
      </c>
      <c r="C47" s="44" t="s">
        <v>873</v>
      </c>
      <c r="D47" s="47" t="s">
        <v>556</v>
      </c>
      <c r="E47" s="51">
        <v>2022</v>
      </c>
      <c r="F47" s="55" t="s">
        <v>636</v>
      </c>
      <c r="G47" s="43">
        <v>13</v>
      </c>
      <c r="H47" s="44">
        <v>3.4</v>
      </c>
      <c r="I47" s="44">
        <v>0.7</v>
      </c>
      <c r="J47" s="47">
        <v>0</v>
      </c>
      <c r="K47" s="43"/>
      <c r="L47" s="47"/>
      <c r="M47" s="51"/>
      <c r="N47" s="59">
        <v>44713</v>
      </c>
      <c r="O47" s="43">
        <f t="shared" si="1"/>
        <v>1</v>
      </c>
      <c r="P47" s="44">
        <f t="shared" si="2"/>
        <v>3</v>
      </c>
      <c r="Q47" s="47">
        <f t="shared" si="3"/>
        <v>2.5</v>
      </c>
      <c r="R47" s="44">
        <f t="shared" si="4"/>
        <v>4</v>
      </c>
      <c r="S47" s="44">
        <f t="shared" si="5"/>
        <v>2.25</v>
      </c>
      <c r="T47" s="47">
        <f t="shared" si="6"/>
        <v>0.25</v>
      </c>
    </row>
    <row r="48" spans="1:20" x14ac:dyDescent="0.35">
      <c r="F48" s="1" t="s">
        <v>883</v>
      </c>
      <c r="G48" s="27">
        <f>MIN(G3:G47)</f>
        <v>11</v>
      </c>
      <c r="H48" s="27">
        <f t="shared" ref="H48:J48" si="7">MIN(H3:H47)</f>
        <v>3.4</v>
      </c>
      <c r="I48" s="27">
        <f t="shared" si="7"/>
        <v>0</v>
      </c>
      <c r="J48" s="27">
        <f t="shared" si="7"/>
        <v>0</v>
      </c>
      <c r="R48">
        <f>SUM(R3:R47)</f>
        <v>13275.5</v>
      </c>
      <c r="S48">
        <f>SUM(S3:S47)</f>
        <v>13153</v>
      </c>
      <c r="T48">
        <f>SUM(T3:T47)</f>
        <v>272</v>
      </c>
    </row>
    <row r="49" spans="6:16" x14ac:dyDescent="0.35">
      <c r="F49" s="1" t="s">
        <v>884</v>
      </c>
      <c r="G49" s="27">
        <f>MAX(G3:G47)</f>
        <v>67</v>
      </c>
      <c r="H49" s="27">
        <f t="shared" ref="H49:J49" si="8">MAX(H3:H47)</f>
        <v>9.4</v>
      </c>
      <c r="I49" s="27">
        <f t="shared" si="8"/>
        <v>7.7</v>
      </c>
      <c r="J49" s="27">
        <f t="shared" si="8"/>
        <v>5.4</v>
      </c>
      <c r="M49" t="s">
        <v>920</v>
      </c>
      <c r="N49" s="27">
        <f>1-6*R48/(COUNT(R3:R47)*(COUNT(R3:R47)^2-1))</f>
        <v>0.12546113306982876</v>
      </c>
      <c r="O49" s="27">
        <f t="shared" ref="O49:P49" si="9">1-6*S48/(COUNT(S3:S47)*(COUNT(S3:S47)^2-1))</f>
        <v>0.13353096179183133</v>
      </c>
      <c r="P49" s="27">
        <f t="shared" si="9"/>
        <v>0.98208168642951255</v>
      </c>
    </row>
    <row r="50" spans="6:16" x14ac:dyDescent="0.35">
      <c r="F50" s="1" t="s">
        <v>949</v>
      </c>
      <c r="G50" s="27">
        <f>AVERAGE(G3:G47)</f>
        <v>43.466666666666669</v>
      </c>
      <c r="H50" s="27">
        <f t="shared" ref="H50:J50" si="10">AVERAGE(H3:H47)</f>
        <v>6.3244444444444428</v>
      </c>
      <c r="I50" s="27">
        <f t="shared" si="10"/>
        <v>4.2088888888888887</v>
      </c>
      <c r="J50" s="27">
        <f t="shared" si="10"/>
        <v>2.5999999999999996</v>
      </c>
      <c r="M50" t="s">
        <v>919</v>
      </c>
      <c r="N50" s="60">
        <f>CORREL(O3:O47,P3:P47)</f>
        <v>0.12315064710332799</v>
      </c>
      <c r="O50" s="60">
        <f>CORREL(O3:O47,Q3:Q47)</f>
        <v>0.1321302503914811</v>
      </c>
      <c r="P50" s="60">
        <f>CORREL(P3:P47,Q3:Q47)</f>
        <v>0.98203664042425642</v>
      </c>
    </row>
  </sheetData>
  <mergeCells count="5">
    <mergeCell ref="A1:D1"/>
    <mergeCell ref="G1:J1"/>
    <mergeCell ref="K1:L1"/>
    <mergeCell ref="O1:Q1"/>
    <mergeCell ref="R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Dimensions</vt:lpstr>
      <vt:lpstr>Euro NCAP</vt:lpstr>
      <vt:lpstr>Green NCAP</vt:lpstr>
      <vt:lpstr>Purchase Price HEV</vt:lpstr>
      <vt:lpstr>Boot capacity HEV</vt:lpstr>
      <vt:lpstr>Tech Specs HEV</vt:lpstr>
      <vt:lpstr>Tech Specs PHEV</vt:lpstr>
      <vt:lpstr>Green NCAP BEV</vt:lpstr>
      <vt:lpstr>Green NCAP HEV</vt:lpstr>
      <vt:lpstr>Green NCAP PHEV</vt:lpstr>
      <vt:lpstr>Green NCAP 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Dimensiones vehículos</dc:title>
  <dc:creator>Jesús Cardenal Carro</dc:creator>
  <cp:keywords>https://www.medidasdecoches.com/</cp:keywords>
  <cp:lastModifiedBy>Jesús Cardenal Carro</cp:lastModifiedBy>
  <dcterms:created xsi:type="dcterms:W3CDTF">2025-01-16T15:54:21Z</dcterms:created>
  <dcterms:modified xsi:type="dcterms:W3CDTF">2025-12-17T16:31:18Z</dcterms:modified>
  <cp:category>medidas</cp:category>
</cp:coreProperties>
</file>